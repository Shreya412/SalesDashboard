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0" yWindow="0" windowWidth="20490" windowHeight="7620" tabRatio="775" activeTab="1"/>
  </bookViews>
  <sheets>
    <sheet name="RPT (4)" sheetId="24" r:id="rId1"/>
    <sheet name="Dashboard" sheetId="6" r:id="rId2"/>
    <sheet name="RPT (3)" sheetId="23" r:id="rId3"/>
    <sheet name="RPT (2)" sheetId="22" r:id="rId4"/>
    <sheet name="RPT" sheetId="21"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44525"/>
  <pivotCaches>
    <pivotCache cacheId="1"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<sst xmlns="http://schemas.openxmlformats.org/spreadsheetml/2006/main" count="475" uniqueCount="44">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</sst>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left"/>
    </xf>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3"/>
  </c:pivotSource>
  <c:chart>
    <c:title>
      <c:tx>
        <c:rich>
          <a:bodyPr/>
          <a:lstStyle/>
          <a:p>
            <a:pPr>
              <a:defRPr/>
            </a:pPr>
            <a:r>
              <a:rPr lang="en-US" baseline="0"/>
              <a:t>Date wise Product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plotArea>
      <c:layout/>
      <c:barChart>
        <c:barDir val="col"/>
        <c:grouping val="clustered"/>
        <c:varyColors val="0"/>
        <c:ser>
          <c:idx val="0"/>
          <c:order val="0"/>
          <c:tx>
            <c:strRef>
              <c:f>'RPT (4)'!$B$3:$B$4</c:f>
              <c:strCache>
                <c:ptCount val="1"/>
                <c:pt idx="0">
                  <c:v>Computer</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ser>
        <c:ser>
          <c:idx val="1"/>
          <c:order val="1"/>
          <c:tx>
            <c:strRef>
              <c:f>'RPT (4)'!$C$3:$C$4</c:f>
              <c:strCache>
                <c:ptCount val="1"/>
                <c:pt idx="0">
                  <c:v>Hard Disc</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ser>
        <c:ser>
          <c:idx val="2"/>
          <c:order val="2"/>
          <c:tx>
            <c:strRef>
              <c:f>'RPT (4)'!$D$3:$D$4</c:f>
              <c:strCache>
                <c:ptCount val="1"/>
                <c:pt idx="0">
                  <c:v>Laptop</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ser>
        <c:ser>
          <c:idx val="3"/>
          <c:order val="3"/>
          <c:tx>
            <c:strRef>
              <c:f>'RPT (4)'!$E$3:$E$4</c:f>
              <c:strCache>
                <c:ptCount val="1"/>
                <c:pt idx="0">
                  <c:v>Mobile</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ser>
        <c:ser>
          <c:idx val="4"/>
          <c:order val="4"/>
          <c:tx>
            <c:strRef>
              <c:f>'RPT (4)'!$F$3:$F$4</c:f>
              <c:strCache>
                <c:ptCount val="1"/>
                <c:pt idx="0">
                  <c:v>Table</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ser>
        <c:ser>
          <c:idx val="5"/>
          <c:order val="5"/>
          <c:tx>
            <c:strRef>
              <c:f>'RPT (4)'!$G$3:$G$4</c:f>
              <c:strCache>
                <c:ptCount val="1"/>
                <c:pt idx="0">
                  <c:v>TV</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ser>
        <c:dLbls>
          <c:showLegendKey val="0"/>
          <c:showVal val="0"/>
          <c:showCatName val="0"/>
          <c:showSerName val="0"/>
          <c:showPercent val="0"/>
          <c:showBubbleSize val="0"/>
        </c:dLbls>
        <c:gapWidth val="100"/>
        <c:axId val="192795008"/>
        <c:axId val="192796544"/>
      </c:barChart>
      <c:catAx>
        <c:axId val="192795008"/>
        <c:scaling>
          <c:orientation val="minMax"/>
        </c:scaling>
        <c:delete val="0"/>
        <c:axPos val="b"/>
        <c:majorTickMark val="out"/>
        <c:minorTickMark val="none"/>
        <c:tickLblPos val="nextTo"/>
        <c:crossAx val="192796544"/>
        <c:crosses val="autoZero"/>
        <c:auto val="1"/>
        <c:lblAlgn val="ctr"/>
        <c:lblOffset val="100"/>
        <c:noMultiLvlLbl val="0"/>
      </c:catAx>
      <c:valAx>
        <c:axId val="192796544"/>
        <c:scaling>
          <c:orientation val="minMax"/>
        </c:scaling>
        <c:delete val="0"/>
        <c:axPos val="l"/>
        <c:majorGridlines/>
        <c:numFmt formatCode="General" sourceLinked="1"/>
        <c:majorTickMark val="out"/>
        <c:minorTickMark val="none"/>
        <c:tickLblPos val="nextTo"/>
        <c:crossAx val="1927950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2"/>
  </c:pivotSource>
  <c:chart>
    <c:title>
      <c:tx>
        <c:rich>
          <a:bodyPr/>
          <a:lstStyle/>
          <a:p>
            <a:pPr>
              <a:defRPr/>
            </a:pPr>
            <a:r>
              <a:rPr lang="en-US"/>
              <a:t>Area</a:t>
            </a:r>
            <a:r>
              <a:rPr lang="en-US" baseline="0"/>
              <a:t> wise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doughnutChart>
        <c:varyColors val="1"/>
        <c:ser>
          <c:idx val="0"/>
          <c:order val="0"/>
          <c:tx>
            <c:strRef>
              <c:f>RPT!$B$3</c:f>
              <c:strCache>
                <c:ptCount val="1"/>
                <c:pt idx="0">
                  <c:v>Total</c:v>
                </c:pt>
              </c:strCache>
            </c:strRef>
          </c:tx>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ser>
        <c:dLbls>
          <c:showLegendKey val="0"/>
          <c:showVal val="0"/>
          <c:showCatName val="0"/>
          <c:showSerName val="0"/>
          <c:showPercent val="0"/>
          <c:showBubbleSize val="0"/>
          <c:showLeaderLines val="1"/>
        </c:dLbls>
        <c:firstSliceAng val="0"/>
        <c:holeSize val="50"/>
      </c:doughnut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3"/>
  </c:pivotSource>
  <c:chart>
    <c:title>
      <c:tx>
        <c:rich>
          <a:bodyPr/>
          <a:lstStyle/>
          <a:p>
            <a:pPr>
              <a:defRPr/>
            </a:pPr>
            <a:r>
              <a:rPr lang="en-US" baseline="0"/>
              <a:t>Product wise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view3D>
      <c:rotX val="75"/>
      <c:rotY val="0"/>
      <c:rAngAx val="0"/>
      <c:perspective val="30"/>
    </c:view3D>
    <c:floor>
      <c:thickness val="0"/>
    </c:floor>
    <c:sideWall>
      <c:thickness val="0"/>
    </c:sideWall>
    <c:backWall>
      <c:thickness val="0"/>
    </c:backWall>
    <c:plotArea>
      <c:layout/>
      <c:pie3DChart>
        <c:varyColors val="1"/>
        <c:ser>
          <c:idx val="0"/>
          <c:order val="0"/>
          <c:tx>
            <c:strRef>
              <c:f>'RPT (2)'!$B$3</c:f>
              <c:strCache>
                <c:ptCount val="1"/>
                <c:pt idx="0">
                  <c:v>Total</c:v>
                </c:pt>
              </c:strCache>
            </c:strRef>
          </c:tx>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ser>
        <c:dLbls>
          <c:showLegendKey val="0"/>
          <c:showVal val="0"/>
          <c:showCatName val="0"/>
          <c:showSerName val="0"/>
          <c:showPercent val="0"/>
          <c:showBubbleSize val="0"/>
          <c:showLeaderLines val="1"/>
        </c:dLbls>
      </c:pie3D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4"/>
  </c:pivotSource>
  <c:chart>
    <c:title>
      <c:tx>
        <c:rich>
          <a:bodyPr/>
          <a:lstStyle/>
          <a:p>
            <a:pPr>
              <a:defRPr/>
            </a:pPr>
            <a:r>
              <a:rPr lang="en-US"/>
              <a:t>Area</a:t>
            </a:r>
            <a:r>
              <a:rPr lang="en-US" baseline="0"/>
              <a:t> wise Product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s>
    <c:plotArea>
      <c:layout/>
      <c:barChart>
        <c:barDir val="bar"/>
        <c:grouping val="clustered"/>
        <c:varyColors val="0"/>
        <c:ser>
          <c:idx val="0"/>
          <c:order val="0"/>
          <c:tx>
            <c:strRef>
              <c:f>'RPT (3)'!$B$3:$B$4</c:f>
              <c:strCache>
                <c:ptCount val="1"/>
                <c:pt idx="0">
                  <c:v>Computer</c:v>
                </c:pt>
              </c:strCache>
            </c:strRef>
          </c:tx>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ser>
        <c:ser>
          <c:idx val="1"/>
          <c:order val="1"/>
          <c:tx>
            <c:strRef>
              <c:f>'RPT (3)'!$C$3:$C$4</c:f>
              <c:strCache>
                <c:ptCount val="1"/>
                <c:pt idx="0">
                  <c:v>Hard Disc</c:v>
                </c:pt>
              </c:strCache>
            </c:strRef>
          </c:tx>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ser>
        <c:ser>
          <c:idx val="2"/>
          <c:order val="2"/>
          <c:tx>
            <c:strRef>
              <c:f>'RPT (3)'!$D$3:$D$4</c:f>
              <c:strCache>
                <c:ptCount val="1"/>
                <c:pt idx="0">
                  <c:v>Laptop</c:v>
                </c:pt>
              </c:strCache>
            </c:strRef>
          </c:tx>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ser>
        <c:ser>
          <c:idx val="3"/>
          <c:order val="3"/>
          <c:tx>
            <c:strRef>
              <c:f>'RPT (3)'!$E$3:$E$4</c:f>
              <c:strCache>
                <c:ptCount val="1"/>
                <c:pt idx="0">
                  <c:v>Mobile</c:v>
                </c:pt>
              </c:strCache>
            </c:strRef>
          </c:tx>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ser>
        <c:ser>
          <c:idx val="4"/>
          <c:order val="4"/>
          <c:tx>
            <c:strRef>
              <c:f>'RPT (3)'!$F$3:$F$4</c:f>
              <c:strCache>
                <c:ptCount val="1"/>
                <c:pt idx="0">
                  <c:v>Table</c:v>
                </c:pt>
              </c:strCache>
            </c:strRef>
          </c:tx>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ser>
        <c:ser>
          <c:idx val="5"/>
          <c:order val="5"/>
          <c:tx>
            <c:strRef>
              <c:f>'RPT (3)'!$G$3:$G$4</c:f>
              <c:strCache>
                <c:ptCount val="1"/>
                <c:pt idx="0">
                  <c:v>TV</c:v>
                </c:pt>
              </c:strCache>
            </c:strRef>
          </c:tx>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ser>
        <c:dLbls>
          <c:showLegendKey val="0"/>
          <c:showVal val="0"/>
          <c:showCatName val="0"/>
          <c:showSerName val="0"/>
          <c:showPercent val="0"/>
          <c:showBubbleSize val="0"/>
        </c:dLbls>
        <c:gapWidth val="100"/>
        <c:axId val="193698048"/>
        <c:axId val="193696512"/>
      </c:barChart>
      <c:valAx>
        <c:axId val="193696512"/>
        <c:scaling>
          <c:orientation val="minMax"/>
        </c:scaling>
        <c:delete val="0"/>
        <c:axPos val="b"/>
        <c:majorGridlines/>
        <c:numFmt formatCode="General" sourceLinked="1"/>
        <c:majorTickMark val="out"/>
        <c:minorTickMark val="none"/>
        <c:tickLblPos val="nextTo"/>
        <c:crossAx val="193698048"/>
        <c:crosses val="autoZero"/>
        <c:crossBetween val="between"/>
      </c:valAx>
      <c:catAx>
        <c:axId val="193698048"/>
        <c:scaling>
          <c:orientation val="minMax"/>
        </c:scaling>
        <c:delete val="0"/>
        <c:axPos val="l"/>
        <c:majorTickMark val="out"/>
        <c:minorTickMark val="none"/>
        <c:tickLblPos val="nextTo"/>
        <c:crossAx val="193696512"/>
        <c:crosses val="autoZero"/>
        <c:auto val="1"/>
        <c:lblAlgn val="ctr"/>
        <c:lblOffset val="100"/>
        <c:noMultiLvlLbl val="0"/>
      </c:cat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5"/>
  </c:pivotSource>
  <c:chart>
    <c:title>
      <c:tx>
        <c:rich>
          <a:bodyPr/>
          <a:lstStyle/>
          <a:p>
            <a:pPr>
              <a:defRPr/>
            </a:pPr>
            <a:r>
              <a:rPr lang="en-US" baseline="0"/>
              <a:t>Date wise Product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s>
    <c:plotArea>
      <c:layout>
        <c:manualLayout>
          <c:layoutTarget val="inner"/>
          <c:xMode val="edge"/>
          <c:yMode val="edge"/>
          <c:x val="0.13938340093851906"/>
          <c:y val="0.35263312256422491"/>
          <c:w val="0.69041537421458676"/>
          <c:h val="0.4735822794877913"/>
        </c:manualLayout>
      </c:layout>
      <c:barChart>
        <c:barDir val="col"/>
        <c:grouping val="clustered"/>
        <c:varyColors val="0"/>
        <c:ser>
          <c:idx val="0"/>
          <c:order val="0"/>
          <c:tx>
            <c:strRef>
              <c:f>'RPT (4)'!$B$3:$B$4</c:f>
              <c:strCache>
                <c:ptCount val="1"/>
                <c:pt idx="0">
                  <c:v>Computer</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ser>
        <c:ser>
          <c:idx val="1"/>
          <c:order val="1"/>
          <c:tx>
            <c:strRef>
              <c:f>'RPT (4)'!$C$3:$C$4</c:f>
              <c:strCache>
                <c:ptCount val="1"/>
                <c:pt idx="0">
                  <c:v>Hard Disc</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ser>
        <c:ser>
          <c:idx val="2"/>
          <c:order val="2"/>
          <c:tx>
            <c:strRef>
              <c:f>'RPT (4)'!$D$3:$D$4</c:f>
              <c:strCache>
                <c:ptCount val="1"/>
                <c:pt idx="0">
                  <c:v>Laptop</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ser>
        <c:ser>
          <c:idx val="3"/>
          <c:order val="3"/>
          <c:tx>
            <c:strRef>
              <c:f>'RPT (4)'!$E$3:$E$4</c:f>
              <c:strCache>
                <c:ptCount val="1"/>
                <c:pt idx="0">
                  <c:v>Mobile</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ser>
        <c:ser>
          <c:idx val="4"/>
          <c:order val="4"/>
          <c:tx>
            <c:strRef>
              <c:f>'RPT (4)'!$F$3:$F$4</c:f>
              <c:strCache>
                <c:ptCount val="1"/>
                <c:pt idx="0">
                  <c:v>Table</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ser>
        <c:ser>
          <c:idx val="5"/>
          <c:order val="5"/>
          <c:tx>
            <c:strRef>
              <c:f>'RPT (4)'!$G$3:$G$4</c:f>
              <c:strCache>
                <c:ptCount val="1"/>
                <c:pt idx="0">
                  <c:v>TV</c:v>
                </c:pt>
              </c:strCache>
            </c:strRef>
          </c:tx>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ser>
        <c:dLbls>
          <c:showLegendKey val="0"/>
          <c:showVal val="0"/>
          <c:showCatName val="0"/>
          <c:showSerName val="0"/>
          <c:showPercent val="0"/>
          <c:showBubbleSize val="0"/>
        </c:dLbls>
        <c:gapWidth val="100"/>
        <c:axId val="193411328"/>
        <c:axId val="193425408"/>
      </c:barChart>
      <c:catAx>
        <c:axId val="193411328"/>
        <c:scaling>
          <c:orientation val="minMax"/>
        </c:scaling>
        <c:delete val="1"/>
        <c:axPos val="b"/>
        <c:majorTickMark val="out"/>
        <c:minorTickMark val="none"/>
        <c:tickLblPos val="nextTo"/>
        <c:crossAx val="193425408"/>
        <c:crosses val="autoZero"/>
        <c:auto val="1"/>
        <c:lblAlgn val="ctr"/>
        <c:lblOffset val="100"/>
        <c:noMultiLvlLbl val="0"/>
      </c:catAx>
      <c:valAx>
        <c:axId val="193425408"/>
        <c:scaling>
          <c:orientation val="minMax"/>
        </c:scaling>
        <c:delete val="0"/>
        <c:axPos val="l"/>
        <c:majorGridlines/>
        <c:numFmt formatCode="General" sourceLinked="1"/>
        <c:majorTickMark val="out"/>
        <c:minorTickMark val="none"/>
        <c:tickLblPos val="nextTo"/>
        <c:crossAx val="19341132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2"/>
  </c:pivotSource>
  <c:chart>
    <c:title>
      <c:tx>
        <c:rich>
          <a:bodyPr/>
          <a:lstStyle/>
          <a:p>
            <a:pPr>
              <a:defRPr/>
            </a:pPr>
            <a:r>
              <a:rPr lang="en-US"/>
              <a:t>Area</a:t>
            </a:r>
            <a:r>
              <a:rPr lang="en-US" baseline="0"/>
              <a:t> wise Product Total Sale</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bar"/>
        <c:grouping val="clustered"/>
        <c:varyColors val="0"/>
        <c:ser>
          <c:idx val="0"/>
          <c:order val="0"/>
          <c:tx>
            <c:strRef>
              <c:f>'RPT (3)'!$B$3:$B$4</c:f>
              <c:strCache>
                <c:ptCount val="1"/>
                <c:pt idx="0">
                  <c:v>Computer</c:v>
                </c:pt>
              </c:strCache>
            </c:strRef>
          </c:tx>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ser>
        <c:ser>
          <c:idx val="1"/>
          <c:order val="1"/>
          <c:tx>
            <c:strRef>
              <c:f>'RPT (3)'!$C$3:$C$4</c:f>
              <c:strCache>
                <c:ptCount val="1"/>
                <c:pt idx="0">
                  <c:v>Hard Disc</c:v>
                </c:pt>
              </c:strCache>
            </c:strRef>
          </c:tx>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ser>
        <c:ser>
          <c:idx val="2"/>
          <c:order val="2"/>
          <c:tx>
            <c:strRef>
              <c:f>'RPT (3)'!$D$3:$D$4</c:f>
              <c:strCache>
                <c:ptCount val="1"/>
                <c:pt idx="0">
                  <c:v>Laptop</c:v>
                </c:pt>
              </c:strCache>
            </c:strRef>
          </c:tx>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ser>
        <c:ser>
          <c:idx val="3"/>
          <c:order val="3"/>
          <c:tx>
            <c:strRef>
              <c:f>'RPT (3)'!$E$3:$E$4</c:f>
              <c:strCache>
                <c:ptCount val="1"/>
                <c:pt idx="0">
                  <c:v>Mobile</c:v>
                </c:pt>
              </c:strCache>
            </c:strRef>
          </c:tx>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ser>
        <c:ser>
          <c:idx val="4"/>
          <c:order val="4"/>
          <c:tx>
            <c:strRef>
              <c:f>'RPT (3)'!$F$3:$F$4</c:f>
              <c:strCache>
                <c:ptCount val="1"/>
                <c:pt idx="0">
                  <c:v>Table</c:v>
                </c:pt>
              </c:strCache>
            </c:strRef>
          </c:tx>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ser>
        <c:ser>
          <c:idx val="5"/>
          <c:order val="5"/>
          <c:tx>
            <c:strRef>
              <c:f>'RPT (3)'!$G$3:$G$4</c:f>
              <c:strCache>
                <c:ptCount val="1"/>
                <c:pt idx="0">
                  <c:v>TV</c:v>
                </c:pt>
              </c:strCache>
            </c:strRef>
          </c:tx>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ser>
        <c:dLbls>
          <c:showLegendKey val="0"/>
          <c:showVal val="0"/>
          <c:showCatName val="0"/>
          <c:showSerName val="0"/>
          <c:showPercent val="0"/>
          <c:showBubbleSize val="0"/>
        </c:dLbls>
        <c:gapWidth val="100"/>
        <c:axId val="192954368"/>
        <c:axId val="192948480"/>
      </c:barChart>
      <c:valAx>
        <c:axId val="192948480"/>
        <c:scaling>
          <c:orientation val="minMax"/>
        </c:scaling>
        <c:delete val="0"/>
        <c:axPos val="b"/>
        <c:majorGridlines/>
        <c:numFmt formatCode="General" sourceLinked="1"/>
        <c:majorTickMark val="out"/>
        <c:minorTickMark val="none"/>
        <c:tickLblPos val="nextTo"/>
        <c:crossAx val="192954368"/>
        <c:crosses val="autoZero"/>
        <c:crossBetween val="between"/>
      </c:valAx>
      <c:catAx>
        <c:axId val="192954368"/>
        <c:scaling>
          <c:orientation val="minMax"/>
        </c:scaling>
        <c:delete val="0"/>
        <c:axPos val="l"/>
        <c:majorTickMark val="out"/>
        <c:minorTickMark val="none"/>
        <c:tickLblPos val="nextTo"/>
        <c:crossAx val="192948480"/>
        <c:crosses val="autoZero"/>
        <c:auto val="1"/>
        <c:lblAlgn val="ctr"/>
        <c:lblOffset val="100"/>
        <c:noMultiLvlLbl val="0"/>
      </c:cat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1"/>
  </c:pivotSource>
  <c:chart>
    <c:title>
      <c:tx>
        <c:rich>
          <a:bodyPr/>
          <a:lstStyle/>
          <a:p>
            <a:pPr>
              <a:defRPr/>
            </a:pPr>
            <a:r>
              <a:rPr lang="en-US" baseline="0"/>
              <a:t>Product wise Total Sale</a:t>
            </a:r>
            <a:endParaRPr lang="en-US"/>
          </a:p>
        </c:rich>
      </c:tx>
      <c:layout/>
      <c:overlay val="0"/>
    </c:title>
    <c:autoTitleDeleted val="0"/>
    <c:pivotFmts>
      <c:pivotFmt>
        <c:idx val="0"/>
        <c:marker>
          <c:symbol val="none"/>
        </c:marker>
      </c:pivotFmt>
      <c:pivotFmt>
        <c:idx val="1"/>
        <c:marker>
          <c:symbol val="none"/>
        </c:marker>
      </c:pivotFmt>
    </c:pivotFmts>
    <c:view3D>
      <c:rotX val="75"/>
      <c:rotY val="0"/>
      <c:rAngAx val="0"/>
      <c:perspective val="30"/>
    </c:view3D>
    <c:floor>
      <c:thickness val="0"/>
    </c:floor>
    <c:sideWall>
      <c:thickness val="0"/>
    </c:sideWall>
    <c:backWall>
      <c:thickness val="0"/>
    </c:backWall>
    <c:plotArea>
      <c:layout/>
      <c:pie3DChart>
        <c:varyColors val="1"/>
        <c:ser>
          <c:idx val="0"/>
          <c:order val="0"/>
          <c:tx>
            <c:strRef>
              <c:f>'RPT (2)'!$B$3</c:f>
              <c:strCache>
                <c:ptCount val="1"/>
                <c:pt idx="0">
                  <c:v>Total</c:v>
                </c:pt>
              </c:strCache>
            </c:strRef>
          </c:tx>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ser>
        <c:dLbls>
          <c:showLegendKey val="0"/>
          <c:showVal val="0"/>
          <c:showCatName val="0"/>
          <c:showSerName val="0"/>
          <c:showPercent val="0"/>
          <c:showBubbleSize val="0"/>
          <c:showLeaderLines val="1"/>
        </c:dLbls>
      </c:pie3D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0"/>
  </c:pivotSource>
  <c:chart>
    <c:title>
      <c:tx>
        <c:rich>
          <a:bodyPr/>
          <a:lstStyle/>
          <a:p>
            <a:pPr>
              <a:defRPr/>
            </a:pPr>
            <a:r>
              <a:rPr lang="en-US"/>
              <a:t>Area</a:t>
            </a:r>
            <a:r>
              <a:rPr lang="en-US" baseline="0"/>
              <a:t> wise Total Sale</a:t>
            </a:r>
            <a:endParaRPr lang="en-US"/>
          </a:p>
        </c:rich>
      </c:tx>
      <c:layout/>
      <c:overlay val="0"/>
    </c:title>
    <c:autoTitleDeleted val="0"/>
    <c:pivotFmts>
      <c:pivotFmt>
        <c:idx val="0"/>
        <c:marker>
          <c:symbol val="none"/>
        </c:marker>
      </c:pivotFmt>
    </c:pivotFmts>
    <c:plotArea>
      <c:layout/>
      <c:doughnutChart>
        <c:varyColors val="1"/>
        <c:ser>
          <c:idx val="0"/>
          <c:order val="0"/>
          <c:tx>
            <c:strRef>
              <c:f>RPT!$B$3</c:f>
              <c:strCache>
                <c:ptCount val="1"/>
                <c:pt idx="0">
                  <c:v>Total</c:v>
                </c:pt>
              </c:strCache>
            </c:strRef>
          </c:tx>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ser>
        <c:dLbls>
          <c:showLegendKey val="0"/>
          <c:showVal val="0"/>
          <c:showCatName val="0"/>
          <c:showSerName val="0"/>
          <c:showPercent val="0"/>
          <c:showBubbleSize val="0"/>
          <c:showLeaderLines val="1"/>
        </c:dLbls>
        <c:firstSliceAng val="0"/>
        <c:holeSize val="50"/>
      </c:doughnut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76200</xdr:colOff>
      <xdr:row>6</xdr:row>
      <xdr:rowOff>28575</xdr:rowOff>
    </xdr:from>
    <xdr:to>
      <xdr:col>11</xdr:col>
      <xdr:colOff>381000</xdr:colOff>
      <xdr:row>20</xdr:row>
      <xdr:rowOff>104775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10</xdr:row>
      <xdr:rowOff>142875</xdr:rowOff>
    </xdr:from>
    <xdr:to>
      <xdr:col>8</xdr:col>
      <xdr:colOff>161925</xdr:colOff>
      <xdr:row>21</xdr:row>
      <xdr:rowOff>59055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180975</xdr:colOff>
      <xdr:row>0</xdr:row>
      <xdr:rowOff>28575</xdr:rowOff>
    </xdr:from>
    <xdr:to>
      <xdr:col>16</xdr:col>
      <xdr:colOff>333375</xdr:colOff>
      <xdr:row>10</xdr:row>
      <xdr:rowOff>135255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180974</xdr:colOff>
      <xdr:row>10</xdr:row>
      <xdr:rowOff>142875</xdr:rowOff>
    </xdr:from>
    <xdr:to>
      <xdr:col>16</xdr:col>
      <xdr:colOff>333374</xdr:colOff>
      <xdr:row>21</xdr:row>
      <xdr:rowOff>59055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57150</xdr:rowOff>
    </xdr:from>
    <xdr:to>
      <xdr:col>8</xdr:col>
      <xdr:colOff>152400</xdr:colOff>
      <xdr:row>10</xdr:row>
      <xdr:rowOff>163830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352425</xdr:colOff>
      <xdr:row>13</xdr:row>
      <xdr:rowOff>57151</xdr:rowOff>
    </xdr:from>
    <xdr:to>
      <xdr:col>20</xdr:col>
      <xdr:colOff>342900</xdr:colOff>
      <xdr:row>20</xdr:row>
      <xdr:rowOff>180975</xdr:rowOff>
    </xdr:to>
    <mc:AlternateContent xmlns:mc="http://schemas.openxmlformats.org/markup-compatibility/2006">
      <mc:Choice xmlns:a14="http://schemas.microsoft.com/office/drawing/2010/main" Requires="a14">
        <xdr:graphicFrame macro="">
          <xdr:nvGraphicFramePr>
            <xdr:cNvPr id="4"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0106025" y="2533651"/>
              <a:ext cx="2428875"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352425</xdr:colOff>
      <xdr:row>3</xdr:row>
      <xdr:rowOff>76200</xdr:rowOff>
    </xdr:from>
    <xdr:to>
      <xdr:col>20</xdr:col>
      <xdr:colOff>361950</xdr:colOff>
      <xdr:row>8</xdr:row>
      <xdr:rowOff>85725</xdr:rowOff>
    </xdr:to>
    <mc:AlternateContent xmlns:mc="http://schemas.openxmlformats.org/markup-compatibility/2006">
      <mc:Choice xmlns:a14="http://schemas.microsoft.com/office/drawing/2010/main" Requires="a14">
        <xdr:graphicFrame macro="">
          <xdr:nvGraphicFramePr>
            <xdr:cNvPr id="7"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0106025" y="647700"/>
              <a:ext cx="2447925"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352425</xdr:colOff>
      <xdr:row>8</xdr:row>
      <xdr:rowOff>95251</xdr:rowOff>
    </xdr:from>
    <xdr:to>
      <xdr:col>20</xdr:col>
      <xdr:colOff>352425</xdr:colOff>
      <xdr:row>13</xdr:row>
      <xdr:rowOff>57151</xdr:rowOff>
    </xdr:to>
    <mc:AlternateContent xmlns:mc="http://schemas.openxmlformats.org/markup-compatibility/2006">
      <mc:Choice xmlns:a14="http://schemas.microsoft.com/office/drawing/2010/main" Requires="a14">
        <xdr:graphicFrame macro="">
          <xdr:nvGraphicFramePr>
            <xdr:cNvPr id="8" name="Name"/>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0106025" y="1619251"/>
              <a:ext cx="24384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352425</xdr:colOff>
      <xdr:row>0</xdr:row>
      <xdr:rowOff>19051</xdr:rowOff>
    </xdr:from>
    <xdr:to>
      <xdr:col>20</xdr:col>
      <xdr:colOff>371475</xdr:colOff>
      <xdr:row>3</xdr:row>
      <xdr:rowOff>76201</xdr:rowOff>
    </xdr:to>
    <mc:AlternateContent xmlns:mc="http://schemas.openxmlformats.org/markup-compatibility/2006">
      <mc:Choice xmlns:a14="http://schemas.microsoft.com/office/drawing/2010/main" Requires="a14">
        <xdr:graphicFrame macro="">
          <xdr:nvGraphicFramePr>
            <xdr:cNvPr id="9" name="Area"/>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10106025" y="19051"/>
              <a:ext cx="2457450" cy="6286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76200</xdr:colOff>
      <xdr:row>6</xdr:row>
      <xdr:rowOff>28575</xdr:rowOff>
    </xdr:from>
    <xdr:to>
      <xdr:col>11</xdr:col>
      <xdr:colOff>381000</xdr:colOff>
      <xdr:row>20</xdr:row>
      <xdr:rowOff>104775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76200</xdr:colOff>
      <xdr:row>6</xdr:row>
      <xdr:rowOff>28575</xdr:rowOff>
    </xdr:from>
    <xdr:to>
      <xdr:col>11</xdr:col>
      <xdr:colOff>381000</xdr:colOff>
      <xdr:row>20</xdr:row>
      <xdr:rowOff>104775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76200</xdr:colOff>
      <xdr:row>6</xdr:row>
      <xdr:rowOff>28575</xdr:rowOff>
    </xdr:from>
    <xdr:to>
      <xdr:col>11</xdr:col>
      <xdr:colOff>381000</xdr:colOff>
      <xdr:row>20</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erya Parmar" refreshedDate="44380.843915277779" createdVersion="4" refreshedVersion="4" minRefreshableVersion="3" recordCount="61">
  <cacheSource type="worksheet">
    <worksheetSource name="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A3:H15" firstHeaderRow="1" firstDataRow="2" firstDataCol="1"/>
  <pivotFields count="8">
    <pivotField showAll="0"/>
    <pivotField axis="axisRow"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1"/>
  </rowFields>
  <rowItems count="11">
    <i>
      <x/>
    </i>
    <i>
      <x v="1"/>
    </i>
    <i>
      <x v="2"/>
    </i>
    <i>
      <x v="3"/>
    </i>
    <i>
      <x v="4"/>
    </i>
    <i>
      <x v="5"/>
    </i>
    <i>
      <x v="6"/>
    </i>
    <i>
      <x v="7"/>
    </i>
    <i>
      <x v="8"/>
    </i>
    <i>
      <x v="9"/>
    </i>
    <i t="grand">
      <x/>
    </i>
  </rowItems>
  <colFields count="1">
    <field x="2"/>
  </colFields>
  <colItems count="7">
    <i>
      <x/>
    </i>
    <i>
      <x v="1"/>
    </i>
    <i>
      <x v="2"/>
    </i>
    <i>
      <x v="3"/>
    </i>
    <i>
      <x v="4"/>
    </i>
    <i>
      <x v="5"/>
    </i>
    <i t="grand">
      <x/>
    </i>
  </colItems>
  <dataFields count="1">
    <dataField name="Sum of Total" fld="7" baseField="0" baseItem="0"/>
  </dataFields>
  <chartFormats count="1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4" series="1">
      <pivotArea type="data" outline="0" fieldPosition="0">
        <references count="2">
          <reference field="4294967294" count="1" selected="0">
            <x v="0"/>
          </reference>
          <reference field="2" count="1" selected="0">
            <x v="0"/>
          </reference>
        </references>
      </pivotArea>
    </chartFormat>
    <chartFormat chart="4" format="5" series="1">
      <pivotArea type="data" outline="0" fieldPosition="0">
        <references count="2">
          <reference field="4294967294" count="1" selected="0">
            <x v="0"/>
          </reference>
          <reference field="2" count="1" selected="0">
            <x v="1"/>
          </reference>
        </references>
      </pivotArea>
    </chartFormat>
    <chartFormat chart="4" format="6" series="1">
      <pivotArea type="data" outline="0" fieldPosition="0">
        <references count="2">
          <reference field="4294967294" count="1" selected="0">
            <x v="0"/>
          </reference>
          <reference field="2" count="1" selected="0">
            <x v="2"/>
          </reference>
        </references>
      </pivotArea>
    </chartFormat>
    <chartFormat chart="4" format="7" series="1">
      <pivotArea type="data" outline="0" fieldPosition="0">
        <references count="2">
          <reference field="4294967294" count="1" selected="0">
            <x v="0"/>
          </reference>
          <reference field="2" count="1" selected="0">
            <x v="3"/>
          </reference>
        </references>
      </pivotArea>
    </chartFormat>
    <chartFormat chart="4" format="8" series="1">
      <pivotArea type="data" outline="0" fieldPosition="0">
        <references count="2">
          <reference field="4294967294" count="1" selected="0">
            <x v="0"/>
          </reference>
          <reference field="2" count="1" selected="0">
            <x v="4"/>
          </reference>
        </references>
      </pivotArea>
    </chartFormat>
    <chartFormat chart="4" format="9" series="1">
      <pivotArea type="data" outline="0" fieldPosition="0">
        <references count="2">
          <reference field="4294967294" count="1" selected="0">
            <x v="0"/>
          </reference>
          <reference field="2" count="1" selected="0">
            <x v="5"/>
          </reference>
        </references>
      </pivotArea>
    </chartFormat>
    <chartFormat chart="5" format="10" series="1">
      <pivotArea type="data" outline="0" fieldPosition="0">
        <references count="2">
          <reference field="4294967294" count="1" selected="0">
            <x v="0"/>
          </reference>
          <reference field="2" count="1" selected="0">
            <x v="0"/>
          </reference>
        </references>
      </pivotArea>
    </chartFormat>
    <chartFormat chart="5" format="11" series="1">
      <pivotArea type="data" outline="0" fieldPosition="0">
        <references count="2">
          <reference field="4294967294" count="1" selected="0">
            <x v="0"/>
          </reference>
          <reference field="2" count="1" selected="0">
            <x v="1"/>
          </reference>
        </references>
      </pivotArea>
    </chartFormat>
    <chartFormat chart="5" format="12" series="1">
      <pivotArea type="data" outline="0" fieldPosition="0">
        <references count="2">
          <reference field="4294967294" count="1" selected="0">
            <x v="0"/>
          </reference>
          <reference field="2" count="1" selected="0">
            <x v="2"/>
          </reference>
        </references>
      </pivotArea>
    </chartFormat>
    <chartFormat chart="5" format="13" series="1">
      <pivotArea type="data" outline="0" fieldPosition="0">
        <references count="2">
          <reference field="4294967294" count="1" selected="0">
            <x v="0"/>
          </reference>
          <reference field="2" count="1" selected="0">
            <x v="3"/>
          </reference>
        </references>
      </pivotArea>
    </chartFormat>
    <chartFormat chart="5" format="14" series="1">
      <pivotArea type="data" outline="0" fieldPosition="0">
        <references count="2">
          <reference field="4294967294" count="1" selected="0">
            <x v="0"/>
          </reference>
          <reference field="2" count="1" selected="0">
            <x v="4"/>
          </reference>
        </references>
      </pivotArea>
    </chartFormat>
    <chartFormat chart="5" format="15" series="1">
      <pivotArea type="data" outline="0" fieldPosition="0">
        <references count="2">
          <reference field="4294967294" count="1" selected="0">
            <x v="0"/>
          </reference>
          <reference field="2" count="1" selected="0">
            <x v="5"/>
          </reference>
        </references>
      </pivotArea>
    </chartFormat>
    <chartFormat chart="5"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Total" fld="7" baseField="0" baseItem="0"/>
  </dataFields>
  <chartFormats count="10">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9" series="1">
      <pivotArea type="data" outline="0" fieldPosition="0">
        <references count="2">
          <reference field="4294967294" count="1" selected="0">
            <x v="0"/>
          </reference>
          <reference field="2" count="1" selected="0">
            <x v="0"/>
          </reference>
        </references>
      </pivotArea>
    </chartFormat>
    <chartFormat chart="4" format="10" series="1">
      <pivotArea type="data" outline="0" fieldPosition="0">
        <references count="2">
          <reference field="4294967294" count="1" selected="0">
            <x v="0"/>
          </reference>
          <reference field="2" count="1" selected="0">
            <x v="1"/>
          </reference>
        </references>
      </pivotArea>
    </chartFormat>
    <chartFormat chart="4" format="11" series="1">
      <pivotArea type="data" outline="0" fieldPosition="0">
        <references count="2">
          <reference field="4294967294" count="1" selected="0">
            <x v="0"/>
          </reference>
          <reference field="2" count="1" selected="0">
            <x v="2"/>
          </reference>
        </references>
      </pivotArea>
    </chartFormat>
    <chartFormat chart="4" format="12" series="1">
      <pivotArea type="data" outline="0" fieldPosition="0">
        <references count="2">
          <reference field="4294967294" count="1" selected="0">
            <x v="0"/>
          </reference>
          <reference field="2" count="1" selected="0">
            <x v="3"/>
          </reference>
        </references>
      </pivotArea>
    </chartFormat>
    <chartFormat chart="4" format="13" series="1">
      <pivotArea type="data" outline="0" fieldPosition="0">
        <references count="2">
          <reference field="4294967294" count="1" selected="0">
            <x v="0"/>
          </reference>
          <reference field="2" count="1" selected="0">
            <x v="4"/>
          </reference>
        </references>
      </pivotArea>
    </chartFormat>
    <chartFormat chart="4" format="14" series="1">
      <pivotArea type="data" outline="0" fieldPosition="0">
        <references count="2">
          <reference field="4294967294" count="1" selected="0">
            <x v="0"/>
          </reference>
          <reference field="2" count="1" selected="0">
            <x v="5"/>
          </reference>
        </references>
      </pivotArea>
    </chartFormat>
    <chartFormat chart="4"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22" name="PivotTable1"/>
    <pivotTable tabId="21" name="PivotTable1"/>
    <pivotTable tabId="23" name="PivotTable1"/>
    <pivotTable tabId="24" name="PivotTable1"/>
  </pivotTables>
  <data>
    <tabular pivotCacheId="1">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22" name="PivotTable1"/>
    <pivotTable tabId="21" name="PivotTable1"/>
    <pivotTable tabId="23" name="PivotTable1"/>
    <pivotTable tabId="24" name="PivotTable1"/>
  </pivotTables>
  <data>
    <tabular pivotCacheId="1">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ame" sourceName="Name">
  <pivotTables>
    <pivotTable tabId="22" name="PivotTable1"/>
    <pivotTable tabId="21" name="PivotTable1"/>
    <pivotTable tabId="23" name="PivotTable1"/>
    <pivotTable tabId="24" name="PivotTable1"/>
  </pivotTables>
  <data>
    <tabular pivotCacheId="1">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rea" sourceName="Area">
  <pivotTables>
    <pivotTable tabId="22" name="PivotTable1"/>
    <pivotTable tabId="21" name="PivotTable1"/>
    <pivotTable tabId="23" name="PivotTable1"/>
    <pivotTable tabId="24" name="PivotTable1"/>
  </pivotTables>
  <data>
    <tabular pivotCacheId="1">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columnCount="3" style="SlicerStyleDark6" rowHeight="241300"/>
  <slicer name="Product" cache="Slicer_Product" caption="Product" columnCount="3" style="SlicerStyleDark3" rowHeight="241300"/>
  <slicer name="Name" cache="Slicer_Name" caption="Name" columnCount="3" style="SlicerStyleDark1" rowHeight="241300"/>
  <slicer name="Area" cache="Slicer_Area" caption="Area" columnCount="4" style="SlicerStyleDark4" rowHeight="241300"/>
</slicers>
</file>

<file path=xl/tables/table1.xml><?xml version="1.0" encoding="utf-8"?>
<table xmlns="http://schemas.openxmlformats.org/spreadsheetml/2006/main" id="1" name="Data" displayName="Data" ref="A2:H63" totalsRowShown="0">
  <autoFilter ref="A2:H63"/>
  <tableColumns count="8">
    <tableColumn id="1" name="Sr. No."/>
    <tableColumn id="2" name="Date" dataDxfId="0"/>
    <tableColumn id="3" name="Product"/>
    <tableColumn id="4" name="Name"/>
    <tableColumn id="5" name="Area"/>
    <tableColumn id="6" name="Qty"/>
    <tableColumn id="7" name="Cost"/>
    <tableColumn id="8" name="Total">
      <calculatedColumnFormula>F3*G3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15"/>
  <sheetViews>
    <sheetView workbookViewId="0">
      <selection activeCell="G23" sqref="G23"/>
    </sheetView>
  </sheetViews>
  <sheetFormatPr defaultRowHeight="15" x14ac:dyDescent="0.25"/>
  <cols>
    <col min="1" max="1" width="13.140625" customWidth="1"/>
    <col min="2" max="2" width="16.28515625" bestFit="1" customWidth="1"/>
    <col min="3" max="3" width="9.140625" bestFit="1" customWidth="1"/>
    <col min="4" max="4" width="7" bestFit="1" customWidth="1"/>
    <col min="5" max="5" width="7.42578125" bestFit="1" customWidth="1"/>
    <col min="6" max="7" width="7" bestFit="1" customWidth="1"/>
    <col min="8" max="8" width="11.28515625" bestFit="1" customWidth="1"/>
  </cols>
  <sheetData>
    <row r="3" spans="1:8" x14ac:dyDescent="0.25">
      <c r="A3" s="11" t="s">
        <v>42</v>
      </c>
      <c r="B3" s="11" t="s">
        <v>43</v>
      </c>
    </row>
    <row r="4" spans="1:8" x14ac:dyDescent="0.25">
      <c r="A4" s="11" t="s">
        <v>40</v>
      </c>
      <c r="B4" t="s">
        <v>12</v>
      </c>
      <c r="C4" t="s">
        <v>14</v>
      </c>
      <c r="D4" t="s">
        <v>13</v>
      </c>
      <c r="E4" t="s">
        <v>10</v>
      </c>
      <c r="F4" t="s">
        <v>11</v>
      </c>
      <c r="G4" t="s">
        <v>8</v>
      </c>
      <c r="H4" t="s">
        <v>41</v>
      </c>
    </row>
    <row r="5" spans="1:8" x14ac:dyDescent="0.25">
      <c r="A5" s="14">
        <v>40179</v>
      </c>
      <c r="B5" s="13"/>
      <c r="C5" s="13"/>
      <c r="D5" s="13">
        <v>16350</v>
      </c>
      <c r="E5" s="13">
        <v>35120</v>
      </c>
      <c r="F5" s="13">
        <v>40570</v>
      </c>
      <c r="G5" s="13">
        <v>45696</v>
      </c>
      <c r="H5" s="13">
        <v>137736</v>
      </c>
    </row>
    <row r="6" spans="1:8" x14ac:dyDescent="0.25">
      <c r="A6" s="14">
        <v>40180</v>
      </c>
      <c r="B6" s="13">
        <v>72165</v>
      </c>
      <c r="C6" s="13">
        <v>68562</v>
      </c>
      <c r="D6" s="13"/>
      <c r="E6" s="13">
        <v>35386</v>
      </c>
      <c r="F6" s="13"/>
      <c r="G6" s="13">
        <v>63536</v>
      </c>
      <c r="H6" s="13">
        <v>239649</v>
      </c>
    </row>
    <row r="7" spans="1:8" x14ac:dyDescent="0.25">
      <c r="A7" s="14">
        <v>40181</v>
      </c>
      <c r="B7" s="13">
        <v>53449</v>
      </c>
      <c r="C7" s="13"/>
      <c r="D7" s="13">
        <v>24320</v>
      </c>
      <c r="E7" s="13">
        <v>63792</v>
      </c>
      <c r="F7" s="13">
        <v>52200</v>
      </c>
      <c r="G7" s="13"/>
      <c r="H7" s="13">
        <v>193761</v>
      </c>
    </row>
    <row r="8" spans="1:8" x14ac:dyDescent="0.25">
      <c r="A8" s="14">
        <v>40182</v>
      </c>
      <c r="B8" s="13">
        <v>29068</v>
      </c>
      <c r="C8" s="13"/>
      <c r="D8" s="13">
        <v>14286</v>
      </c>
      <c r="E8" s="13"/>
      <c r="F8" s="13">
        <v>32880</v>
      </c>
      <c r="G8" s="13">
        <v>23460</v>
      </c>
      <c r="H8" s="13">
        <v>99694</v>
      </c>
    </row>
    <row r="9" spans="1:8" x14ac:dyDescent="0.25">
      <c r="A9" s="14">
        <v>40183</v>
      </c>
      <c r="B9" s="13"/>
      <c r="C9" s="13">
        <v>66164</v>
      </c>
      <c r="D9" s="13">
        <v>45690</v>
      </c>
      <c r="E9" s="13"/>
      <c r="F9" s="13">
        <v>70060</v>
      </c>
      <c r="G9" s="13">
        <v>39624</v>
      </c>
      <c r="H9" s="13">
        <v>221538</v>
      </c>
    </row>
    <row r="10" spans="1:8" x14ac:dyDescent="0.25">
      <c r="A10" s="14">
        <v>40184</v>
      </c>
      <c r="B10" s="13"/>
      <c r="C10" s="13"/>
      <c r="D10" s="13">
        <v>31760</v>
      </c>
      <c r="E10" s="13">
        <v>102080</v>
      </c>
      <c r="F10" s="13">
        <v>147168</v>
      </c>
      <c r="G10" s="13">
        <v>83204</v>
      </c>
      <c r="H10" s="13">
        <v>364212</v>
      </c>
    </row>
    <row r="11" spans="1:8" x14ac:dyDescent="0.25">
      <c r="A11" s="14">
        <v>40185</v>
      </c>
      <c r="B11" s="13">
        <v>100608</v>
      </c>
      <c r="C11" s="13">
        <v>75930</v>
      </c>
      <c r="D11" s="13"/>
      <c r="E11" s="13">
        <v>84690</v>
      </c>
      <c r="F11" s="13"/>
      <c r="G11" s="13">
        <v>147520</v>
      </c>
      <c r="H11" s="13">
        <v>408748</v>
      </c>
    </row>
    <row r="12" spans="1:8" x14ac:dyDescent="0.25">
      <c r="A12" s="14">
        <v>40186</v>
      </c>
      <c r="B12" s="13">
        <v>79956</v>
      </c>
      <c r="C12" s="13"/>
      <c r="D12" s="13">
        <v>19172</v>
      </c>
      <c r="E12" s="13">
        <v>122616</v>
      </c>
      <c r="F12" s="13">
        <v>113496</v>
      </c>
      <c r="G12" s="13"/>
      <c r="H12" s="13">
        <v>335240</v>
      </c>
    </row>
    <row r="13" spans="1:8" x14ac:dyDescent="0.25">
      <c r="A13" s="14">
        <v>40187</v>
      </c>
      <c r="B13" s="13">
        <v>96168</v>
      </c>
      <c r="C13" s="13"/>
      <c r="D13" s="13">
        <v>22040</v>
      </c>
      <c r="E13" s="13"/>
      <c r="F13" s="13">
        <v>110572</v>
      </c>
      <c r="G13" s="13">
        <v>61732</v>
      </c>
      <c r="H13" s="13">
        <v>290512</v>
      </c>
    </row>
    <row r="14" spans="1:8" x14ac:dyDescent="0.25">
      <c r="A14" s="14">
        <v>40188</v>
      </c>
      <c r="B14" s="13"/>
      <c r="C14" s="13">
        <v>82404</v>
      </c>
      <c r="D14" s="13">
        <v>69180</v>
      </c>
      <c r="E14" s="13"/>
      <c r="F14" s="13">
        <v>150588</v>
      </c>
      <c r="G14" s="13">
        <v>33500</v>
      </c>
      <c r="H14" s="13">
        <v>335672</v>
      </c>
    </row>
    <row r="15" spans="1:8" x14ac:dyDescent="0.25">
      <c r="A15" s="14" t="s">
        <v>41</v>
      </c>
      <c r="B15" s="13">
        <v>431414</v>
      </c>
      <c r="C15" s="13">
        <v>293060</v>
      </c>
      <c r="D15" s="13">
        <v>242798</v>
      </c>
      <c r="E15" s="13">
        <v>443684</v>
      </c>
      <c r="F15" s="13">
        <v>717534</v>
      </c>
      <c r="G15" s="13">
        <v>498272</v>
      </c>
      <c r="H15" s="13">
        <v>2626762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workbookViewId="0">
      <selection activeCell="J23" sqref="J23"/>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9"/>
  <sheetViews>
    <sheetView workbookViewId="0">
      <selection activeCell="G23" sqref="G23"/>
    </sheetView>
  </sheetViews>
  <sheetFormatPr defaultRowHeight="15" x14ac:dyDescent="0.25"/>
  <cols>
    <col min="1" max="1" width="13.140625" customWidth="1"/>
    <col min="2" max="2" width="16.28515625" bestFit="1" customWidth="1"/>
    <col min="3" max="3" width="9.140625" bestFit="1" customWidth="1"/>
    <col min="4" max="4" width="7" bestFit="1" customWidth="1"/>
    <col min="5" max="5" width="7.42578125" bestFit="1" customWidth="1"/>
    <col min="6" max="7" width="7" bestFit="1" customWidth="1"/>
    <col min="8" max="8" width="11.28515625" bestFit="1" customWidth="1"/>
  </cols>
  <sheetData>
    <row r="3" spans="1:8" x14ac:dyDescent="0.25">
      <c r="A3" s="11" t="s">
        <v>42</v>
      </c>
      <c r="B3" s="11" t="s">
        <v>43</v>
      </c>
    </row>
    <row r="4" spans="1:8" x14ac:dyDescent="0.25">
      <c r="A4" s="11" t="s">
        <v>40</v>
      </c>
      <c r="B4" t="s">
        <v>12</v>
      </c>
      <c r="C4" t="s">
        <v>14</v>
      </c>
      <c r="D4" t="s">
        <v>13</v>
      </c>
      <c r="E4" t="s">
        <v>10</v>
      </c>
      <c r="F4" t="s">
        <v>11</v>
      </c>
      <c r="G4" t="s">
        <v>8</v>
      </c>
      <c r="H4" t="s">
        <v>41</v>
      </c>
    </row>
    <row r="5" spans="1:8" x14ac:dyDescent="0.25">
      <c r="A5" s="12" t="s">
        <v>9</v>
      </c>
      <c r="B5" s="13">
        <v>133405</v>
      </c>
      <c r="C5" s="13">
        <v>148568</v>
      </c>
      <c r="D5" s="13"/>
      <c r="E5" s="13">
        <v>137200</v>
      </c>
      <c r="F5" s="13">
        <v>143452</v>
      </c>
      <c r="G5" s="13">
        <v>211056</v>
      </c>
      <c r="H5" s="13">
        <v>773681</v>
      </c>
    </row>
    <row r="6" spans="1:8" x14ac:dyDescent="0.25">
      <c r="A6" s="12" t="s">
        <v>22</v>
      </c>
      <c r="B6" s="13">
        <v>172773</v>
      </c>
      <c r="C6" s="13"/>
      <c r="D6" s="13">
        <v>127928</v>
      </c>
      <c r="E6" s="13"/>
      <c r="F6" s="13">
        <v>220648</v>
      </c>
      <c r="G6" s="13"/>
      <c r="H6" s="13">
        <v>521349</v>
      </c>
    </row>
    <row r="7" spans="1:8" x14ac:dyDescent="0.25">
      <c r="A7" s="12" t="s">
        <v>21</v>
      </c>
      <c r="B7" s="13"/>
      <c r="C7" s="13">
        <v>144492</v>
      </c>
      <c r="D7" s="13"/>
      <c r="E7" s="13">
        <v>186408</v>
      </c>
      <c r="F7" s="13">
        <v>187738</v>
      </c>
      <c r="G7" s="13">
        <v>158316</v>
      </c>
      <c r="H7" s="13">
        <v>676954</v>
      </c>
    </row>
    <row r="8" spans="1:8" x14ac:dyDescent="0.25">
      <c r="A8" s="12" t="s">
        <v>20</v>
      </c>
      <c r="B8" s="13">
        <v>125236</v>
      </c>
      <c r="C8" s="13"/>
      <c r="D8" s="13">
        <v>114870</v>
      </c>
      <c r="E8" s="13">
        <v>120076</v>
      </c>
      <c r="F8" s="13">
        <v>165696</v>
      </c>
      <c r="G8" s="13">
        <v>128900</v>
      </c>
      <c r="H8" s="13">
        <v>654778</v>
      </c>
    </row>
    <row r="9" spans="1:8" x14ac:dyDescent="0.25">
      <c r="A9" s="12" t="s">
        <v>41</v>
      </c>
      <c r="B9" s="13">
        <v>431414</v>
      </c>
      <c r="C9" s="13">
        <v>293060</v>
      </c>
      <c r="D9" s="13">
        <v>242798</v>
      </c>
      <c r="E9" s="13">
        <v>443684</v>
      </c>
      <c r="F9" s="13">
        <v>717534</v>
      </c>
      <c r="G9" s="13">
        <v>498272</v>
      </c>
      <c r="H9" s="13">
        <v>2626762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0"/>
  <sheetViews>
    <sheetView workbookViewId="0">
      <selection activeCell="G23" sqref="G23"/>
    </sheetView>
  </sheetViews>
  <sheetFormatPr defaultRowHeight="15" x14ac:dyDescent="0.25"/>
  <cols>
    <col min="1" max="1" width="13.140625" customWidth="1"/>
    <col min="2" max="2" width="12" bestFit="1" customWidth="1"/>
  </cols>
  <sheetData>
    <row r="3" spans="1:2" x14ac:dyDescent="0.25">
      <c r="A3" s="11" t="s">
        <v>40</v>
      </c>
      <c r="B3" t="s">
        <v>42</v>
      </c>
    </row>
    <row r="4" spans="1:2" x14ac:dyDescent="0.25">
      <c r="A4" s="12" t="s">
        <v>12</v>
      </c>
      <c r="B4" s="13">
        <v>431414</v>
      </c>
    </row>
    <row r="5" spans="1:2" x14ac:dyDescent="0.25">
      <c r="A5" s="12" t="s">
        <v>14</v>
      </c>
      <c r="B5" s="13">
        <v>293060</v>
      </c>
    </row>
    <row r="6" spans="1:2" x14ac:dyDescent="0.25">
      <c r="A6" s="12" t="s">
        <v>13</v>
      </c>
      <c r="B6" s="13">
        <v>242798</v>
      </c>
    </row>
    <row r="7" spans="1:2" x14ac:dyDescent="0.25">
      <c r="A7" s="12" t="s">
        <v>10</v>
      </c>
      <c r="B7" s="13">
        <v>443684</v>
      </c>
    </row>
    <row r="8" spans="1:2" x14ac:dyDescent="0.25">
      <c r="A8" s="12" t="s">
        <v>11</v>
      </c>
      <c r="B8" s="13">
        <v>717534</v>
      </c>
    </row>
    <row r="9" spans="1:2" x14ac:dyDescent="0.25">
      <c r="A9" s="12" t="s">
        <v>8</v>
      </c>
      <c r="B9" s="13">
        <v>498272</v>
      </c>
    </row>
    <row r="10" spans="1:2" x14ac:dyDescent="0.25">
      <c r="A10" s="12" t="s">
        <v>41</v>
      </c>
      <c r="B10" s="13">
        <v>2626762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G23" sqref="G23"/>
    </sheetView>
  </sheetViews>
  <sheetFormatPr defaultRowHeight="15" x14ac:dyDescent="0.25"/>
  <cols>
    <col min="1" max="1" width="13.140625" bestFit="1" customWidth="1"/>
    <col min="2" max="2" width="12" bestFit="1" customWidth="1"/>
  </cols>
  <sheetData>
    <row r="3" spans="1:2" x14ac:dyDescent="0.25">
      <c r="A3" s="11" t="s">
        <v>40</v>
      </c>
      <c r="B3" t="s">
        <v>42</v>
      </c>
    </row>
    <row r="4" spans="1:2" x14ac:dyDescent="0.25">
      <c r="A4" s="12" t="s">
        <v>9</v>
      </c>
      <c r="B4" s="13">
        <v>773681</v>
      </c>
    </row>
    <row r="5" spans="1:2" x14ac:dyDescent="0.25">
      <c r="A5" s="12" t="s">
        <v>22</v>
      </c>
      <c r="B5" s="13">
        <v>521349</v>
      </c>
    </row>
    <row r="6" spans="1:2" x14ac:dyDescent="0.25">
      <c r="A6" s="12" t="s">
        <v>21</v>
      </c>
      <c r="B6" s="13">
        <v>676954</v>
      </c>
    </row>
    <row r="7" spans="1:2" x14ac:dyDescent="0.25">
      <c r="A7" s="12" t="s">
        <v>20</v>
      </c>
      <c r="B7" s="13">
        <v>654778</v>
      </c>
    </row>
    <row r="8" spans="1:2" x14ac:dyDescent="0.25">
      <c r="A8" s="12" t="s">
        <v>41</v>
      </c>
      <c r="B8" s="13">
        <v>2626762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H63"/>
  <sheetViews>
    <sheetView topLeftCell="A3" workbookViewId="0">
      <selection activeCell="D14" sqref="D14"/>
    </sheetView>
  </sheetViews>
  <sheetFormatPr defaultRowHeight="15" x14ac:dyDescent="0.25"/>
  <cols>
    <col min="2" max="2" width="11.28515625" bestFit="1" customWidth="1"/>
    <col min="3" max="3" width="10" customWidth="1"/>
  </cols>
  <sheetData>
    <row r="2" spans="1:8" x14ac:dyDescent="0.25">
      <c r="A2" t="s">
        <v>7</v>
      </c>
      <c r="B2" t="s">
        <v>0</v>
      </c>
      <c r="C2" t="s">
        <v>1</v>
      </c>
      <c r="D2" t="s">
        <v>2</v>
      </c>
      <c r="E2" t="s">
        <v>3</v>
      </c>
      <c r="F2" t="s">
        <v>4</v>
      </c>
      <c r="G2" t="s">
        <v>5</v>
      </c>
      <c r="H2" t="s">
        <v>6</v>
      </c>
    </row>
    <row r="3" spans="1:8" x14ac:dyDescent="0.25">
      <c r="A3">
        <v>1</v>
      </c>
      <c r="B3" s="3">
        <v>40179</v>
      </c>
      <c r="C3" t="s">
        <v>10</v>
      </c>
      <c r="D3" t="s">
        <v>15</v>
      </c>
      <c r="E3" t="s">
        <v>9</v>
      </c>
      <c r="F3">
        <v>16</v>
      </c>
      <c r="G3">
        <v>2195</v>
      </c>
      <c r="H3">
        <f>F3*G3</f>
        <v>35120</v>
      </c>
    </row>
    <row r="4" spans="1:8" x14ac:dyDescent="0.25">
      <c r="A4">
        <v>2</v>
      </c>
      <c r="B4" s="3">
        <v>40180</v>
      </c>
      <c r="C4" t="s">
        <v>8</v>
      </c>
      <c r="D4" t="s">
        <v>16</v>
      </c>
      <c r="E4" t="s">
        <v>9</v>
      </c>
      <c r="F4">
        <v>16</v>
      </c>
      <c r="G4">
        <v>3971</v>
      </c>
      <c r="H4">
        <f t="shared" ref="H4:H17" si="0">F4*G4</f>
        <v>63536</v>
      </c>
    </row>
    <row r="5" spans="1:8" x14ac:dyDescent="0.25">
      <c r="A5">
        <v>3</v>
      </c>
      <c r="B5" s="3">
        <v>40181</v>
      </c>
      <c r="C5" t="s">
        <v>12</v>
      </c>
      <c r="D5" t="s">
        <v>17</v>
      </c>
      <c r="E5" t="s">
        <v>9</v>
      </c>
      <c r="F5">
        <v>11</v>
      </c>
      <c r="G5">
        <v>4859</v>
      </c>
      <c r="H5">
        <f t="shared" si="0"/>
        <v>53449</v>
      </c>
    </row>
    <row r="6" spans="1:8" x14ac:dyDescent="0.25">
      <c r="A6">
        <v>4</v>
      </c>
      <c r="B6" s="3">
        <v>40182</v>
      </c>
      <c r="C6" t="s">
        <v>11</v>
      </c>
      <c r="D6" t="s">
        <v>18</v>
      </c>
      <c r="E6" t="s">
        <v>9</v>
      </c>
      <c r="F6">
        <v>16</v>
      </c>
      <c r="G6">
        <v>2055</v>
      </c>
      <c r="H6">
        <f t="shared" si="0"/>
        <v>32880</v>
      </c>
    </row>
    <row r="7" spans="1:8" x14ac:dyDescent="0.25">
      <c r="A7">
        <v>5</v>
      </c>
      <c r="B7" s="3">
        <v>40183</v>
      </c>
      <c r="C7" t="s">
        <v>14</v>
      </c>
      <c r="D7" t="s">
        <v>19</v>
      </c>
      <c r="E7" t="s">
        <v>9</v>
      </c>
      <c r="F7">
        <v>17</v>
      </c>
      <c r="G7">
        <v>3892</v>
      </c>
      <c r="H7">
        <f t="shared" si="0"/>
        <v>66164</v>
      </c>
    </row>
    <row r="8" spans="1:8" x14ac:dyDescent="0.25">
      <c r="A8">
        <v>6</v>
      </c>
      <c r="B8" s="3">
        <v>40184</v>
      </c>
      <c r="C8" t="s">
        <v>10</v>
      </c>
      <c r="D8" t="s">
        <v>15</v>
      </c>
      <c r="E8" t="s">
        <v>9</v>
      </c>
      <c r="F8">
        <v>11</v>
      </c>
      <c r="G8">
        <v>4640</v>
      </c>
      <c r="H8">
        <f t="shared" si="0"/>
        <v>51040</v>
      </c>
    </row>
    <row r="9" spans="1:8" x14ac:dyDescent="0.25">
      <c r="A9">
        <v>7</v>
      </c>
      <c r="B9" s="3">
        <v>40185</v>
      </c>
      <c r="C9" t="s">
        <v>8</v>
      </c>
      <c r="D9" t="s">
        <v>16</v>
      </c>
      <c r="E9" t="s">
        <v>9</v>
      </c>
      <c r="F9">
        <v>16</v>
      </c>
      <c r="G9">
        <v>4610</v>
      </c>
      <c r="H9">
        <f t="shared" si="0"/>
        <v>73760</v>
      </c>
    </row>
    <row r="10" spans="1:8" x14ac:dyDescent="0.25">
      <c r="A10">
        <v>8</v>
      </c>
      <c r="B10" s="3">
        <v>40186</v>
      </c>
      <c r="C10" t="s">
        <v>12</v>
      </c>
      <c r="D10" t="s">
        <v>17</v>
      </c>
      <c r="E10" t="s">
        <v>9</v>
      </c>
      <c r="F10">
        <v>18</v>
      </c>
      <c r="G10">
        <v>2221</v>
      </c>
      <c r="H10">
        <f t="shared" si="0"/>
        <v>39978</v>
      </c>
    </row>
    <row r="11" spans="1:8" x14ac:dyDescent="0.25">
      <c r="A11">
        <v>9</v>
      </c>
      <c r="B11" s="3">
        <v>40187</v>
      </c>
      <c r="C11" t="s">
        <v>11</v>
      </c>
      <c r="D11" t="s">
        <v>18</v>
      </c>
      <c r="E11" t="s">
        <v>9</v>
      </c>
      <c r="F11">
        <v>14</v>
      </c>
      <c r="G11">
        <v>3949</v>
      </c>
      <c r="H11">
        <f t="shared" si="0"/>
        <v>55286</v>
      </c>
    </row>
    <row r="12" spans="1:8" x14ac:dyDescent="0.25">
      <c r="A12">
        <v>10</v>
      </c>
      <c r="B12" s="3">
        <v>40188</v>
      </c>
      <c r="C12" t="s">
        <v>14</v>
      </c>
      <c r="D12" t="s">
        <v>19</v>
      </c>
      <c r="E12" t="s">
        <v>9</v>
      </c>
      <c r="F12">
        <v>14</v>
      </c>
      <c r="G12">
        <v>2943</v>
      </c>
      <c r="H12">
        <f t="shared" si="0"/>
        <v>41202</v>
      </c>
    </row>
    <row r="13" spans="1:8" x14ac:dyDescent="0.25">
      <c r="A13">
        <v>11</v>
      </c>
      <c r="B13" s="3">
        <v>40184</v>
      </c>
      <c r="C13" t="s">
        <v>10</v>
      </c>
      <c r="D13" t="s">
        <v>15</v>
      </c>
      <c r="E13" t="s">
        <v>9</v>
      </c>
      <c r="F13">
        <v>11</v>
      </c>
      <c r="G13">
        <v>4640</v>
      </c>
      <c r="H13">
        <f t="shared" si="0"/>
        <v>51040</v>
      </c>
    </row>
    <row r="14" spans="1:8" x14ac:dyDescent="0.25">
      <c r="A14">
        <v>12</v>
      </c>
      <c r="B14" s="3">
        <v>40185</v>
      </c>
      <c r="C14" t="s">
        <v>8</v>
      </c>
      <c r="D14" t="s">
        <v>16</v>
      </c>
      <c r="E14" t="s">
        <v>9</v>
      </c>
      <c r="F14">
        <v>16</v>
      </c>
      <c r="G14">
        <v>4610</v>
      </c>
      <c r="H14">
        <f t="shared" si="0"/>
        <v>73760</v>
      </c>
    </row>
    <row r="15" spans="1:8" x14ac:dyDescent="0.25">
      <c r="A15">
        <v>13</v>
      </c>
      <c r="B15" s="3">
        <v>40186</v>
      </c>
      <c r="C15" t="s">
        <v>12</v>
      </c>
      <c r="D15" t="s">
        <v>17</v>
      </c>
      <c r="E15" t="s">
        <v>9</v>
      </c>
      <c r="F15">
        <v>18</v>
      </c>
      <c r="G15">
        <v>2221</v>
      </c>
      <c r="H15">
        <f t="shared" si="0"/>
        <v>39978</v>
      </c>
    </row>
    <row r="16" spans="1:8" x14ac:dyDescent="0.25">
      <c r="A16">
        <v>14</v>
      </c>
      <c r="B16" s="3">
        <v>40187</v>
      </c>
      <c r="C16" t="s">
        <v>11</v>
      </c>
      <c r="D16" t="s">
        <v>18</v>
      </c>
      <c r="E16" t="s">
        <v>9</v>
      </c>
      <c r="F16">
        <v>14</v>
      </c>
      <c r="G16">
        <v>3949</v>
      </c>
      <c r="H16">
        <f t="shared" si="0"/>
        <v>55286</v>
      </c>
    </row>
    <row r="17" spans="1:8" x14ac:dyDescent="0.25">
      <c r="A17">
        <v>15</v>
      </c>
      <c r="B17" s="3">
        <v>40188</v>
      </c>
      <c r="C17" t="s">
        <v>14</v>
      </c>
      <c r="D17" t="s">
        <v>19</v>
      </c>
      <c r="E17" t="s">
        <v>9</v>
      </c>
      <c r="F17">
        <v>14</v>
      </c>
      <c r="G17">
        <v>2943</v>
      </c>
      <c r="H17">
        <f t="shared" si="0"/>
        <v>41202</v>
      </c>
    </row>
    <row r="18" spans="1:8" x14ac:dyDescent="0.25">
      <c r="A18">
        <v>16</v>
      </c>
      <c r="B18" s="3">
        <v>40179</v>
      </c>
      <c r="C18" t="s">
        <v>8</v>
      </c>
      <c r="D18" t="s">
        <v>15</v>
      </c>
      <c r="E18" t="s">
        <v>20</v>
      </c>
      <c r="F18">
        <v>16</v>
      </c>
      <c r="G18">
        <v>2856</v>
      </c>
      <c r="H18">
        <f>F18*G18</f>
        <v>45696</v>
      </c>
    </row>
    <row r="19" spans="1:8" x14ac:dyDescent="0.25">
      <c r="A19">
        <v>17</v>
      </c>
      <c r="B19" s="3">
        <v>40180</v>
      </c>
      <c r="C19" t="s">
        <v>10</v>
      </c>
      <c r="D19" t="s">
        <v>16</v>
      </c>
      <c r="E19" t="s">
        <v>20</v>
      </c>
      <c r="F19">
        <v>13</v>
      </c>
      <c r="G19">
        <v>2722</v>
      </c>
      <c r="H19">
        <f t="shared" ref="H19:H32" si="1">F19*G19</f>
        <v>35386</v>
      </c>
    </row>
    <row r="20" spans="1:8" x14ac:dyDescent="0.25">
      <c r="A20">
        <v>18</v>
      </c>
      <c r="B20" s="3">
        <v>40181</v>
      </c>
      <c r="C20" t="s">
        <v>11</v>
      </c>
      <c r="D20" t="s">
        <v>17</v>
      </c>
      <c r="E20" t="s">
        <v>20</v>
      </c>
      <c r="F20">
        <v>18</v>
      </c>
      <c r="G20">
        <v>2900</v>
      </c>
      <c r="H20">
        <f t="shared" si="1"/>
        <v>52200</v>
      </c>
    </row>
    <row r="21" spans="1:8" x14ac:dyDescent="0.25">
      <c r="A21">
        <v>19</v>
      </c>
      <c r="B21" s="3">
        <v>40182</v>
      </c>
      <c r="C21" t="s">
        <v>12</v>
      </c>
      <c r="D21" t="s">
        <v>18</v>
      </c>
      <c r="E21" t="s">
        <v>20</v>
      </c>
      <c r="F21">
        <v>13</v>
      </c>
      <c r="G21">
        <v>2236</v>
      </c>
      <c r="H21">
        <f t="shared" si="1"/>
        <v>29068</v>
      </c>
    </row>
    <row r="22" spans="1:8" x14ac:dyDescent="0.25">
      <c r="A22">
        <v>20</v>
      </c>
      <c r="B22" s="3">
        <v>40183</v>
      </c>
      <c r="C22" t="s">
        <v>13</v>
      </c>
      <c r="D22" t="s">
        <v>19</v>
      </c>
      <c r="E22" t="s">
        <v>20</v>
      </c>
      <c r="F22">
        <v>10</v>
      </c>
      <c r="G22">
        <v>4569</v>
      </c>
      <c r="H22">
        <f t="shared" si="1"/>
        <v>45690</v>
      </c>
    </row>
    <row r="23" spans="1:8" x14ac:dyDescent="0.25">
      <c r="A23">
        <v>21</v>
      </c>
      <c r="B23" s="3">
        <v>40184</v>
      </c>
      <c r="C23" t="s">
        <v>8</v>
      </c>
      <c r="D23" t="s">
        <v>15</v>
      </c>
      <c r="E23" t="s">
        <v>20</v>
      </c>
      <c r="F23">
        <v>11</v>
      </c>
      <c r="G23">
        <v>3782</v>
      </c>
      <c r="H23">
        <f t="shared" si="1"/>
        <v>41602</v>
      </c>
    </row>
    <row r="24" spans="1:8" x14ac:dyDescent="0.25">
      <c r="A24">
        <v>22</v>
      </c>
      <c r="B24" s="3">
        <v>40185</v>
      </c>
      <c r="C24" t="s">
        <v>10</v>
      </c>
      <c r="D24" t="s">
        <v>16</v>
      </c>
      <c r="E24" t="s">
        <v>20</v>
      </c>
      <c r="F24">
        <v>15</v>
      </c>
      <c r="G24">
        <v>2823</v>
      </c>
      <c r="H24">
        <f t="shared" si="1"/>
        <v>42345</v>
      </c>
    </row>
    <row r="25" spans="1:8" x14ac:dyDescent="0.25">
      <c r="A25">
        <v>23</v>
      </c>
      <c r="B25" s="3">
        <v>40186</v>
      </c>
      <c r="C25" t="s">
        <v>11</v>
      </c>
      <c r="D25" t="s">
        <v>17</v>
      </c>
      <c r="E25" t="s">
        <v>20</v>
      </c>
      <c r="F25">
        <v>12</v>
      </c>
      <c r="G25">
        <v>4729</v>
      </c>
      <c r="H25">
        <f t="shared" si="1"/>
        <v>56748</v>
      </c>
    </row>
    <row r="26" spans="1:8" x14ac:dyDescent="0.25">
      <c r="A26">
        <v>24</v>
      </c>
      <c r="B26" s="3">
        <v>40187</v>
      </c>
      <c r="C26" t="s">
        <v>12</v>
      </c>
      <c r="D26" t="s">
        <v>18</v>
      </c>
      <c r="E26" t="s">
        <v>20</v>
      </c>
      <c r="F26">
        <v>12</v>
      </c>
      <c r="G26">
        <v>4007</v>
      </c>
      <c r="H26">
        <f t="shared" si="1"/>
        <v>48084</v>
      </c>
    </row>
    <row r="27" spans="1:8" x14ac:dyDescent="0.25">
      <c r="A27">
        <v>25</v>
      </c>
      <c r="B27" s="3">
        <v>40188</v>
      </c>
      <c r="C27" t="s">
        <v>13</v>
      </c>
      <c r="D27" t="s">
        <v>19</v>
      </c>
      <c r="E27" t="s">
        <v>20</v>
      </c>
      <c r="F27">
        <v>10</v>
      </c>
      <c r="G27">
        <v>3459</v>
      </c>
      <c r="H27">
        <f t="shared" si="1"/>
        <v>34590</v>
      </c>
    </row>
    <row r="28" spans="1:8" x14ac:dyDescent="0.25">
      <c r="A28">
        <v>26</v>
      </c>
      <c r="B28" s="3">
        <v>40184</v>
      </c>
      <c r="C28" t="s">
        <v>8</v>
      </c>
      <c r="D28" t="s">
        <v>15</v>
      </c>
      <c r="E28" t="s">
        <v>20</v>
      </c>
      <c r="F28">
        <v>11</v>
      </c>
      <c r="G28">
        <v>3782</v>
      </c>
      <c r="H28">
        <f t="shared" si="1"/>
        <v>41602</v>
      </c>
    </row>
    <row r="29" spans="1:8" x14ac:dyDescent="0.25">
      <c r="A29">
        <v>27</v>
      </c>
      <c r="B29" s="3">
        <v>40185</v>
      </c>
      <c r="C29" t="s">
        <v>10</v>
      </c>
      <c r="D29" t="s">
        <v>16</v>
      </c>
      <c r="E29" t="s">
        <v>20</v>
      </c>
      <c r="F29">
        <v>15</v>
      </c>
      <c r="G29">
        <v>2823</v>
      </c>
      <c r="H29">
        <f t="shared" si="1"/>
        <v>42345</v>
      </c>
    </row>
    <row r="30" spans="1:8" x14ac:dyDescent="0.25">
      <c r="A30">
        <v>28</v>
      </c>
      <c r="B30" s="3">
        <v>40186</v>
      </c>
      <c r="C30" t="s">
        <v>11</v>
      </c>
      <c r="D30" t="s">
        <v>17</v>
      </c>
      <c r="E30" t="s">
        <v>20</v>
      </c>
      <c r="F30">
        <v>12</v>
      </c>
      <c r="G30">
        <v>4729</v>
      </c>
      <c r="H30">
        <f t="shared" si="1"/>
        <v>56748</v>
      </c>
    </row>
    <row r="31" spans="1:8" x14ac:dyDescent="0.25">
      <c r="A31">
        <v>29</v>
      </c>
      <c r="B31" s="3">
        <v>40187</v>
      </c>
      <c r="C31" t="s">
        <v>12</v>
      </c>
      <c r="D31" t="s">
        <v>18</v>
      </c>
      <c r="E31" t="s">
        <v>20</v>
      </c>
      <c r="F31">
        <v>12</v>
      </c>
      <c r="G31">
        <v>4007</v>
      </c>
      <c r="H31">
        <f t="shared" si="1"/>
        <v>48084</v>
      </c>
    </row>
    <row r="32" spans="1:8" x14ac:dyDescent="0.25">
      <c r="A32">
        <v>30</v>
      </c>
      <c r="B32" s="3">
        <v>40188</v>
      </c>
      <c r="C32" t="s">
        <v>13</v>
      </c>
      <c r="D32" t="s">
        <v>19</v>
      </c>
      <c r="E32" t="s">
        <v>20</v>
      </c>
      <c r="F32">
        <v>10</v>
      </c>
      <c r="G32">
        <v>3459</v>
      </c>
      <c r="H32">
        <f t="shared" si="1"/>
        <v>34590</v>
      </c>
    </row>
    <row r="33" spans="1:8" x14ac:dyDescent="0.25">
      <c r="A33">
        <v>31</v>
      </c>
      <c r="B33" s="3">
        <v>40179</v>
      </c>
      <c r="C33" t="s">
        <v>11</v>
      </c>
      <c r="D33" t="s">
        <v>15</v>
      </c>
      <c r="E33" t="s">
        <v>21</v>
      </c>
      <c r="F33">
        <v>10</v>
      </c>
      <c r="G33">
        <v>4057</v>
      </c>
      <c r="H33">
        <f>F33*G33</f>
        <v>40570</v>
      </c>
    </row>
    <row r="34" spans="1:8" x14ac:dyDescent="0.25">
      <c r="A34">
        <v>32</v>
      </c>
      <c r="B34" s="3">
        <v>40180</v>
      </c>
      <c r="C34" t="s">
        <v>14</v>
      </c>
      <c r="D34" t="s">
        <v>16</v>
      </c>
      <c r="E34" t="s">
        <v>21</v>
      </c>
      <c r="F34">
        <v>18</v>
      </c>
      <c r="G34">
        <v>3809</v>
      </c>
      <c r="H34">
        <f t="shared" ref="H34:H47" si="2">F34*G34</f>
        <v>68562</v>
      </c>
    </row>
    <row r="35" spans="1:8" x14ac:dyDescent="0.25">
      <c r="A35">
        <v>33</v>
      </c>
      <c r="B35" s="3">
        <v>40181</v>
      </c>
      <c r="C35" t="s">
        <v>10</v>
      </c>
      <c r="D35" t="s">
        <v>17</v>
      </c>
      <c r="E35" t="s">
        <v>21</v>
      </c>
      <c r="F35">
        <v>16</v>
      </c>
      <c r="G35">
        <v>3987</v>
      </c>
      <c r="H35">
        <f t="shared" si="2"/>
        <v>63792</v>
      </c>
    </row>
    <row r="36" spans="1:8" x14ac:dyDescent="0.25">
      <c r="A36">
        <v>34</v>
      </c>
      <c r="B36" s="3">
        <v>40182</v>
      </c>
      <c r="C36" t="s">
        <v>8</v>
      </c>
      <c r="D36" t="s">
        <v>18</v>
      </c>
      <c r="E36" t="s">
        <v>21</v>
      </c>
      <c r="F36">
        <v>10</v>
      </c>
      <c r="G36">
        <v>2346</v>
      </c>
      <c r="H36">
        <f t="shared" si="2"/>
        <v>23460</v>
      </c>
    </row>
    <row r="37" spans="1:8" x14ac:dyDescent="0.25">
      <c r="A37">
        <v>35</v>
      </c>
      <c r="B37" s="3">
        <v>40183</v>
      </c>
      <c r="C37" t="s">
        <v>8</v>
      </c>
      <c r="D37" t="s">
        <v>19</v>
      </c>
      <c r="E37" t="s">
        <v>21</v>
      </c>
      <c r="F37">
        <v>8</v>
      </c>
      <c r="G37">
        <v>4953</v>
      </c>
      <c r="H37">
        <f t="shared" si="2"/>
        <v>39624</v>
      </c>
    </row>
    <row r="38" spans="1:8" x14ac:dyDescent="0.25">
      <c r="A38">
        <v>36</v>
      </c>
      <c r="B38" s="3">
        <v>40184</v>
      </c>
      <c r="C38" t="s">
        <v>11</v>
      </c>
      <c r="D38" t="s">
        <v>15</v>
      </c>
      <c r="E38" t="s">
        <v>21</v>
      </c>
      <c r="F38">
        <v>18</v>
      </c>
      <c r="G38">
        <v>4088</v>
      </c>
      <c r="H38">
        <f t="shared" si="2"/>
        <v>73584</v>
      </c>
    </row>
    <row r="39" spans="1:8" x14ac:dyDescent="0.25">
      <c r="A39">
        <v>37</v>
      </c>
      <c r="B39" s="3">
        <v>40185</v>
      </c>
      <c r="C39" t="s">
        <v>14</v>
      </c>
      <c r="D39" t="s">
        <v>16</v>
      </c>
      <c r="E39" t="s">
        <v>21</v>
      </c>
      <c r="F39">
        <v>15</v>
      </c>
      <c r="G39">
        <v>2531</v>
      </c>
      <c r="H39">
        <f t="shared" si="2"/>
        <v>37965</v>
      </c>
    </row>
    <row r="40" spans="1:8" x14ac:dyDescent="0.25">
      <c r="A40">
        <v>38</v>
      </c>
      <c r="B40" s="3">
        <v>40186</v>
      </c>
      <c r="C40" t="s">
        <v>10</v>
      </c>
      <c r="D40" t="s">
        <v>17</v>
      </c>
      <c r="E40" t="s">
        <v>21</v>
      </c>
      <c r="F40">
        <v>13</v>
      </c>
      <c r="G40">
        <v>4716</v>
      </c>
      <c r="H40">
        <f t="shared" si="2"/>
        <v>61308</v>
      </c>
    </row>
    <row r="41" spans="1:8" x14ac:dyDescent="0.25">
      <c r="A41">
        <v>39</v>
      </c>
      <c r="B41" s="3">
        <v>40187</v>
      </c>
      <c r="C41" t="s">
        <v>8</v>
      </c>
      <c r="D41" t="s">
        <v>18</v>
      </c>
      <c r="E41" t="s">
        <v>21</v>
      </c>
      <c r="F41">
        <v>11</v>
      </c>
      <c r="G41">
        <v>2806</v>
      </c>
      <c r="H41">
        <f t="shared" si="2"/>
        <v>30866</v>
      </c>
    </row>
    <row r="42" spans="1:8" x14ac:dyDescent="0.25">
      <c r="A42">
        <v>40</v>
      </c>
      <c r="B42" s="3">
        <v>40188</v>
      </c>
      <c r="C42" t="s">
        <v>8</v>
      </c>
      <c r="D42" t="s">
        <v>19</v>
      </c>
      <c r="E42" t="s">
        <v>21</v>
      </c>
      <c r="F42">
        <v>5</v>
      </c>
      <c r="G42">
        <v>3350</v>
      </c>
      <c r="H42">
        <f t="shared" si="2"/>
        <v>16750</v>
      </c>
    </row>
    <row r="43" spans="1:8" x14ac:dyDescent="0.25">
      <c r="A43">
        <v>41</v>
      </c>
      <c r="B43" s="3">
        <v>40184</v>
      </c>
      <c r="C43" t="s">
        <v>11</v>
      </c>
      <c r="D43" t="s">
        <v>15</v>
      </c>
      <c r="E43" t="s">
        <v>21</v>
      </c>
      <c r="F43">
        <v>18</v>
      </c>
      <c r="G43">
        <v>4088</v>
      </c>
      <c r="H43">
        <f t="shared" si="2"/>
        <v>73584</v>
      </c>
    </row>
    <row r="44" spans="1:8" x14ac:dyDescent="0.25">
      <c r="A44">
        <v>42</v>
      </c>
      <c r="B44" s="3">
        <v>40185</v>
      </c>
      <c r="C44" t="s">
        <v>14</v>
      </c>
      <c r="D44" t="s">
        <v>16</v>
      </c>
      <c r="E44" t="s">
        <v>21</v>
      </c>
      <c r="F44">
        <v>15</v>
      </c>
      <c r="G44">
        <v>2531</v>
      </c>
      <c r="H44">
        <f t="shared" si="2"/>
        <v>37965</v>
      </c>
    </row>
    <row r="45" spans="1:8" x14ac:dyDescent="0.25">
      <c r="A45">
        <v>43</v>
      </c>
      <c r="B45" s="3">
        <v>40186</v>
      </c>
      <c r="C45" t="s">
        <v>10</v>
      </c>
      <c r="D45" t="s">
        <v>17</v>
      </c>
      <c r="E45" t="s">
        <v>21</v>
      </c>
      <c r="F45">
        <v>13</v>
      </c>
      <c r="G45">
        <v>4716</v>
      </c>
      <c r="H45">
        <f t="shared" si="2"/>
        <v>61308</v>
      </c>
    </row>
    <row r="46" spans="1:8" x14ac:dyDescent="0.25">
      <c r="A46">
        <v>44</v>
      </c>
      <c r="B46" s="3">
        <v>40187</v>
      </c>
      <c r="C46" t="s">
        <v>8</v>
      </c>
      <c r="D46" t="s">
        <v>18</v>
      </c>
      <c r="E46" t="s">
        <v>21</v>
      </c>
      <c r="F46">
        <v>11</v>
      </c>
      <c r="G46">
        <v>2806</v>
      </c>
      <c r="H46">
        <f t="shared" si="2"/>
        <v>30866</v>
      </c>
    </row>
    <row r="47" spans="1:8" x14ac:dyDescent="0.25">
      <c r="A47">
        <v>45</v>
      </c>
      <c r="B47" s="3">
        <v>40188</v>
      </c>
      <c r="C47" t="s">
        <v>8</v>
      </c>
      <c r="D47" t="s">
        <v>19</v>
      </c>
      <c r="E47" t="s">
        <v>21</v>
      </c>
      <c r="F47">
        <v>5</v>
      </c>
      <c r="G47">
        <v>3350</v>
      </c>
      <c r="H47">
        <f t="shared" si="2"/>
        <v>16750</v>
      </c>
    </row>
    <row r="48" spans="1:8" x14ac:dyDescent="0.25">
      <c r="A48">
        <v>46</v>
      </c>
      <c r="B48" s="3">
        <v>40179</v>
      </c>
      <c r="C48" t="s">
        <v>13</v>
      </c>
      <c r="D48" t="s">
        <v>15</v>
      </c>
      <c r="E48" t="s">
        <v>22</v>
      </c>
      <c r="F48">
        <v>5</v>
      </c>
      <c r="G48">
        <v>3270</v>
      </c>
      <c r="H48">
        <f>F48*G48</f>
        <v>16350</v>
      </c>
    </row>
    <row r="49" spans="1:8" x14ac:dyDescent="0.25">
      <c r="A49">
        <v>47</v>
      </c>
      <c r="B49" s="3">
        <v>40180</v>
      </c>
      <c r="C49" t="s">
        <v>12</v>
      </c>
      <c r="D49" t="s">
        <v>16</v>
      </c>
      <c r="E49" t="s">
        <v>22</v>
      </c>
      <c r="F49">
        <v>17</v>
      </c>
      <c r="G49">
        <v>4245</v>
      </c>
      <c r="H49">
        <f t="shared" ref="H49:H63" si="3">F49*G49</f>
        <v>72165</v>
      </c>
    </row>
    <row r="50" spans="1:8" x14ac:dyDescent="0.25">
      <c r="A50">
        <v>48</v>
      </c>
      <c r="B50" s="3">
        <v>40181</v>
      </c>
      <c r="C50" t="s">
        <v>13</v>
      </c>
      <c r="D50" t="s">
        <v>17</v>
      </c>
      <c r="E50" t="s">
        <v>22</v>
      </c>
      <c r="F50">
        <v>5</v>
      </c>
      <c r="G50">
        <v>4864</v>
      </c>
      <c r="H50">
        <f t="shared" si="3"/>
        <v>24320</v>
      </c>
    </row>
    <row r="51" spans="1:8" x14ac:dyDescent="0.25">
      <c r="A51">
        <v>49</v>
      </c>
      <c r="B51" s="3">
        <v>40182</v>
      </c>
      <c r="C51" t="s">
        <v>13</v>
      </c>
      <c r="D51" t="s">
        <v>18</v>
      </c>
      <c r="E51" t="s">
        <v>22</v>
      </c>
      <c r="F51">
        <v>6</v>
      </c>
      <c r="G51">
        <v>2381</v>
      </c>
      <c r="H51">
        <f t="shared" si="3"/>
        <v>14286</v>
      </c>
    </row>
    <row r="52" spans="1:8" x14ac:dyDescent="0.25">
      <c r="A52">
        <v>50</v>
      </c>
      <c r="B52" s="3">
        <v>40183</v>
      </c>
      <c r="C52" t="s">
        <v>11</v>
      </c>
      <c r="D52" t="s">
        <v>19</v>
      </c>
      <c r="E52" t="s">
        <v>22</v>
      </c>
      <c r="F52">
        <v>10</v>
      </c>
      <c r="G52">
        <v>3503</v>
      </c>
      <c r="H52">
        <f t="shared" si="3"/>
        <v>35030</v>
      </c>
    </row>
    <row r="53" spans="1:8" x14ac:dyDescent="0.25">
      <c r="A53">
        <v>51</v>
      </c>
      <c r="B53" s="3">
        <v>40184</v>
      </c>
      <c r="C53" t="s">
        <v>13</v>
      </c>
      <c r="D53" t="s">
        <v>15</v>
      </c>
      <c r="E53" t="s">
        <v>22</v>
      </c>
      <c r="F53">
        <v>5</v>
      </c>
      <c r="G53">
        <v>3176</v>
      </c>
      <c r="H53">
        <f t="shared" si="3"/>
        <v>15880</v>
      </c>
    </row>
    <row r="54" spans="1:8" x14ac:dyDescent="0.25">
      <c r="A54">
        <v>52</v>
      </c>
      <c r="B54" s="3">
        <v>40185</v>
      </c>
      <c r="C54" t="s">
        <v>12</v>
      </c>
      <c r="D54" t="s">
        <v>16</v>
      </c>
      <c r="E54" t="s">
        <v>22</v>
      </c>
      <c r="F54">
        <v>12</v>
      </c>
      <c r="G54">
        <v>4192</v>
      </c>
      <c r="H54">
        <f t="shared" si="3"/>
        <v>50304</v>
      </c>
    </row>
    <row r="55" spans="1:8" x14ac:dyDescent="0.25">
      <c r="A55">
        <v>53</v>
      </c>
      <c r="B55" s="3">
        <v>40186</v>
      </c>
      <c r="C55" t="s">
        <v>13</v>
      </c>
      <c r="D55" t="s">
        <v>17</v>
      </c>
      <c r="E55" t="s">
        <v>22</v>
      </c>
      <c r="F55">
        <v>2</v>
      </c>
      <c r="G55">
        <v>4793</v>
      </c>
      <c r="H55">
        <f t="shared" si="3"/>
        <v>9586</v>
      </c>
    </row>
    <row r="56" spans="1:8" x14ac:dyDescent="0.25">
      <c r="A56">
        <v>54</v>
      </c>
      <c r="B56" s="3">
        <v>40187</v>
      </c>
      <c r="C56" t="s">
        <v>13</v>
      </c>
      <c r="D56" t="s">
        <v>18</v>
      </c>
      <c r="E56" t="s">
        <v>22</v>
      </c>
      <c r="F56">
        <v>5</v>
      </c>
      <c r="G56">
        <v>2204</v>
      </c>
      <c r="H56">
        <f t="shared" si="3"/>
        <v>11020</v>
      </c>
    </row>
    <row r="57" spans="1:8" x14ac:dyDescent="0.25">
      <c r="A57">
        <v>55</v>
      </c>
      <c r="B57" s="3">
        <v>40188</v>
      </c>
      <c r="C57" t="s">
        <v>11</v>
      </c>
      <c r="D57" t="s">
        <v>19</v>
      </c>
      <c r="E57" t="s">
        <v>22</v>
      </c>
      <c r="F57">
        <v>18</v>
      </c>
      <c r="G57">
        <v>4183</v>
      </c>
      <c r="H57">
        <f t="shared" si="3"/>
        <v>75294</v>
      </c>
    </row>
    <row r="58" spans="1:8" x14ac:dyDescent="0.25">
      <c r="A58">
        <v>56</v>
      </c>
      <c r="B58" s="3">
        <v>40183</v>
      </c>
      <c r="C58" t="s">
        <v>11</v>
      </c>
      <c r="D58" t="s">
        <v>19</v>
      </c>
      <c r="E58" t="s">
        <v>22</v>
      </c>
      <c r="F58">
        <v>10</v>
      </c>
      <c r="G58">
        <v>3503</v>
      </c>
      <c r="H58">
        <f t="shared" si="3"/>
        <v>35030</v>
      </c>
    </row>
    <row r="59" spans="1:8" x14ac:dyDescent="0.25">
      <c r="A59">
        <v>57</v>
      </c>
      <c r="B59" s="3">
        <v>40184</v>
      </c>
      <c r="C59" t="s">
        <v>13</v>
      </c>
      <c r="D59" t="s">
        <v>15</v>
      </c>
      <c r="E59" t="s">
        <v>22</v>
      </c>
      <c r="F59">
        <v>5</v>
      </c>
      <c r="G59">
        <v>3176</v>
      </c>
      <c r="H59">
        <f t="shared" si="3"/>
        <v>15880</v>
      </c>
    </row>
    <row r="60" spans="1:8" x14ac:dyDescent="0.25">
      <c r="A60">
        <v>58</v>
      </c>
      <c r="B60" s="3">
        <v>40185</v>
      </c>
      <c r="C60" t="s">
        <v>12</v>
      </c>
      <c r="D60" t="s">
        <v>16</v>
      </c>
      <c r="E60" t="s">
        <v>22</v>
      </c>
      <c r="F60">
        <v>12</v>
      </c>
      <c r="G60">
        <v>4192</v>
      </c>
      <c r="H60">
        <f t="shared" si="3"/>
        <v>50304</v>
      </c>
    </row>
    <row r="61" spans="1:8" x14ac:dyDescent="0.25">
      <c r="A61">
        <v>59</v>
      </c>
      <c r="B61" s="3">
        <v>40186</v>
      </c>
      <c r="C61" t="s">
        <v>13</v>
      </c>
      <c r="D61" t="s">
        <v>17</v>
      </c>
      <c r="E61" t="s">
        <v>22</v>
      </c>
      <c r="F61">
        <v>2</v>
      </c>
      <c r="G61">
        <v>4793</v>
      </c>
      <c r="H61">
        <f t="shared" si="3"/>
        <v>9586</v>
      </c>
    </row>
    <row r="62" spans="1:8" x14ac:dyDescent="0.25">
      <c r="A62">
        <v>60</v>
      </c>
      <c r="B62" s="3">
        <v>40187</v>
      </c>
      <c r="C62" t="s">
        <v>13</v>
      </c>
      <c r="D62" t="s">
        <v>18</v>
      </c>
      <c r="E62" t="s">
        <v>22</v>
      </c>
      <c r="F62">
        <v>5</v>
      </c>
      <c r="G62">
        <v>2204</v>
      </c>
      <c r="H62">
        <f t="shared" si="3"/>
        <v>11020</v>
      </c>
    </row>
    <row r="63" spans="1:8" x14ac:dyDescent="0.25">
      <c r="A63">
        <v>61</v>
      </c>
      <c r="B63" s="3">
        <v>40188</v>
      </c>
      <c r="C63" t="s">
        <v>11</v>
      </c>
      <c r="D63" t="s">
        <v>19</v>
      </c>
      <c r="E63" t="s">
        <v>22</v>
      </c>
      <c r="F63">
        <v>18</v>
      </c>
      <c r="G63">
        <v>4183</v>
      </c>
      <c r="H63">
        <f t="shared" si="3"/>
        <v>75294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6"/>
  <sheetViews>
    <sheetView workbookViewId="0">
      <selection sqref="A1: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16</v>
      </c>
      <c r="G2">
        <v>2195</v>
      </c>
      <c r="H2">
        <f>F2*G2</f>
        <v>35120</v>
      </c>
    </row>
    <row r="3" spans="1:8" x14ac:dyDescent="0.25">
      <c r="A3">
        <v>2</v>
      </c>
      <c r="B3" s="3">
        <v>40180</v>
      </c>
      <c r="C3" t="s">
        <v>8</v>
      </c>
      <c r="D3" t="s">
        <v>16</v>
      </c>
      <c r="E3" t="s">
        <v>9</v>
      </c>
      <c r="F3">
        <v>16</v>
      </c>
      <c r="G3">
        <v>3971</v>
      </c>
      <c r="H3">
        <f t="shared" ref="H3:H11"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2055</v>
      </c>
      <c r="H5">
        <f t="shared" si="0"/>
        <v>32880</v>
      </c>
    </row>
    <row r="6" spans="1:8" x14ac:dyDescent="0.25">
      <c r="A6">
        <v>5</v>
      </c>
      <c r="B6" s="3">
        <v>40183</v>
      </c>
      <c r="C6" t="s">
        <v>14</v>
      </c>
      <c r="D6" t="s">
        <v>19</v>
      </c>
      <c r="E6" t="s">
        <v>9</v>
      </c>
      <c r="F6">
        <v>17</v>
      </c>
      <c r="G6">
        <v>3892</v>
      </c>
      <c r="H6">
        <f t="shared" si="0"/>
        <v>66164</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4610</v>
      </c>
      <c r="H8">
        <f t="shared" si="0"/>
        <v>73760</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2943</v>
      </c>
      <c r="H11">
        <f t="shared" si="0"/>
        <v>41202</v>
      </c>
    </row>
    <row r="12" spans="1:8" x14ac:dyDescent="0.25">
      <c r="A12">
        <v>11</v>
      </c>
      <c r="B12" s="3">
        <v>40184</v>
      </c>
      <c r="C12" t="s">
        <v>10</v>
      </c>
      <c r="D12" t="s">
        <v>15</v>
      </c>
      <c r="E12" t="s">
        <v>9</v>
      </c>
      <c r="F12">
        <v>11</v>
      </c>
      <c r="G12">
        <v>4640</v>
      </c>
      <c r="H12">
        <f t="shared" ref="H12:H16" si="1">F12*G12</f>
        <v>51040</v>
      </c>
    </row>
    <row r="13" spans="1:8" x14ac:dyDescent="0.25">
      <c r="A13">
        <v>12</v>
      </c>
      <c r="B13" s="3">
        <v>40185</v>
      </c>
      <c r="C13" t="s">
        <v>8</v>
      </c>
      <c r="D13" t="s">
        <v>16</v>
      </c>
      <c r="E13" t="s">
        <v>9</v>
      </c>
      <c r="F13">
        <v>16</v>
      </c>
      <c r="G13">
        <v>4610</v>
      </c>
      <c r="H13">
        <f t="shared" si="1"/>
        <v>73760</v>
      </c>
    </row>
    <row r="14" spans="1:8" x14ac:dyDescent="0.25">
      <c r="A14">
        <v>13</v>
      </c>
      <c r="B14" s="3">
        <v>40186</v>
      </c>
      <c r="C14" t="s">
        <v>12</v>
      </c>
      <c r="D14" t="s">
        <v>17</v>
      </c>
      <c r="E14" t="s">
        <v>9</v>
      </c>
      <c r="F14">
        <v>18</v>
      </c>
      <c r="G14">
        <v>2221</v>
      </c>
      <c r="H14">
        <f t="shared" si="1"/>
        <v>39978</v>
      </c>
    </row>
    <row r="15" spans="1:8" x14ac:dyDescent="0.25">
      <c r="A15">
        <v>14</v>
      </c>
      <c r="B15" s="3">
        <v>40187</v>
      </c>
      <c r="C15" t="s">
        <v>11</v>
      </c>
      <c r="D15" t="s">
        <v>18</v>
      </c>
      <c r="E15" t="s">
        <v>9</v>
      </c>
      <c r="F15">
        <v>14</v>
      </c>
      <c r="G15">
        <v>3949</v>
      </c>
      <c r="H15">
        <f t="shared" si="1"/>
        <v>55286</v>
      </c>
    </row>
    <row r="16" spans="1:8" x14ac:dyDescent="0.25">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6"/>
  <sheetViews>
    <sheetView workbookViewId="0">
      <selection activeCell="A2" sqref="A2: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2856</v>
      </c>
      <c r="H2">
        <f>F2*G2</f>
        <v>45696</v>
      </c>
    </row>
    <row r="3" spans="1:8" x14ac:dyDescent="0.25">
      <c r="A3">
        <v>2</v>
      </c>
      <c r="B3" s="3">
        <v>40180</v>
      </c>
      <c r="C3" t="s">
        <v>10</v>
      </c>
      <c r="D3" t="s">
        <v>16</v>
      </c>
      <c r="E3" t="s">
        <v>20</v>
      </c>
      <c r="F3">
        <v>13</v>
      </c>
      <c r="G3">
        <v>2722</v>
      </c>
      <c r="H3">
        <f t="shared" ref="H3:H11" si="0">F3*G3</f>
        <v>35386</v>
      </c>
    </row>
    <row r="4" spans="1:8" x14ac:dyDescent="0.25">
      <c r="A4">
        <v>3</v>
      </c>
      <c r="B4" s="3">
        <v>40181</v>
      </c>
      <c r="C4" t="s">
        <v>11</v>
      </c>
      <c r="D4" t="s">
        <v>17</v>
      </c>
      <c r="E4" t="s">
        <v>20</v>
      </c>
      <c r="F4">
        <v>18</v>
      </c>
      <c r="G4">
        <v>2900</v>
      </c>
      <c r="H4">
        <f t="shared" si="0"/>
        <v>52200</v>
      </c>
    </row>
    <row r="5" spans="1:8" x14ac:dyDescent="0.25">
      <c r="A5">
        <v>4</v>
      </c>
      <c r="B5" s="3">
        <v>40182</v>
      </c>
      <c r="C5" t="s">
        <v>12</v>
      </c>
      <c r="D5" t="s">
        <v>18</v>
      </c>
      <c r="E5" t="s">
        <v>20</v>
      </c>
      <c r="F5">
        <v>13</v>
      </c>
      <c r="G5">
        <v>2236</v>
      </c>
      <c r="H5">
        <f t="shared" si="0"/>
        <v>29068</v>
      </c>
    </row>
    <row r="6" spans="1:8" x14ac:dyDescent="0.25">
      <c r="A6">
        <v>5</v>
      </c>
      <c r="B6" s="3">
        <v>40183</v>
      </c>
      <c r="C6" t="s">
        <v>13</v>
      </c>
      <c r="D6" t="s">
        <v>19</v>
      </c>
      <c r="E6" t="s">
        <v>20</v>
      </c>
      <c r="F6">
        <v>10</v>
      </c>
      <c r="G6">
        <v>4569</v>
      </c>
      <c r="H6">
        <f t="shared" si="0"/>
        <v>45690</v>
      </c>
    </row>
    <row r="7" spans="1:8" x14ac:dyDescent="0.25">
      <c r="A7">
        <v>6</v>
      </c>
      <c r="B7" s="3">
        <v>40184</v>
      </c>
      <c r="C7" t="s">
        <v>8</v>
      </c>
      <c r="D7" t="s">
        <v>15</v>
      </c>
      <c r="E7" t="s">
        <v>20</v>
      </c>
      <c r="F7">
        <v>11</v>
      </c>
      <c r="G7">
        <v>3782</v>
      </c>
      <c r="H7">
        <f t="shared" si="0"/>
        <v>41602</v>
      </c>
    </row>
    <row r="8" spans="1:8" x14ac:dyDescent="0.25">
      <c r="A8">
        <v>7</v>
      </c>
      <c r="B8" s="3">
        <v>40185</v>
      </c>
      <c r="C8" t="s">
        <v>10</v>
      </c>
      <c r="D8" t="s">
        <v>16</v>
      </c>
      <c r="E8" t="s">
        <v>20</v>
      </c>
      <c r="F8">
        <v>15</v>
      </c>
      <c r="G8">
        <v>2823</v>
      </c>
      <c r="H8">
        <f t="shared" si="0"/>
        <v>42345</v>
      </c>
    </row>
    <row r="9" spans="1:8" x14ac:dyDescent="0.25">
      <c r="A9">
        <v>8</v>
      </c>
      <c r="B9" s="3">
        <v>40186</v>
      </c>
      <c r="C9" t="s">
        <v>11</v>
      </c>
      <c r="D9" t="s">
        <v>17</v>
      </c>
      <c r="E9" t="s">
        <v>20</v>
      </c>
      <c r="F9">
        <v>12</v>
      </c>
      <c r="G9">
        <v>4729</v>
      </c>
      <c r="H9">
        <f t="shared" si="0"/>
        <v>56748</v>
      </c>
    </row>
    <row r="10" spans="1:8" x14ac:dyDescent="0.25">
      <c r="A10">
        <v>9</v>
      </c>
      <c r="B10" s="3">
        <v>40187</v>
      </c>
      <c r="C10" t="s">
        <v>12</v>
      </c>
      <c r="D10" t="s">
        <v>18</v>
      </c>
      <c r="E10" t="s">
        <v>20</v>
      </c>
      <c r="F10">
        <v>12</v>
      </c>
      <c r="G10">
        <v>4007</v>
      </c>
      <c r="H10">
        <f t="shared" si="0"/>
        <v>48084</v>
      </c>
    </row>
    <row r="11" spans="1:8" x14ac:dyDescent="0.25">
      <c r="A11">
        <v>10</v>
      </c>
      <c r="B11" s="3">
        <v>40188</v>
      </c>
      <c r="C11" t="s">
        <v>13</v>
      </c>
      <c r="D11" t="s">
        <v>19</v>
      </c>
      <c r="E11" t="s">
        <v>20</v>
      </c>
      <c r="F11">
        <v>10</v>
      </c>
      <c r="G11">
        <v>3459</v>
      </c>
      <c r="H11">
        <f t="shared" si="0"/>
        <v>34590</v>
      </c>
    </row>
    <row r="12" spans="1:8" x14ac:dyDescent="0.25">
      <c r="A12">
        <v>11</v>
      </c>
      <c r="B12" s="3">
        <v>40184</v>
      </c>
      <c r="C12" t="s">
        <v>8</v>
      </c>
      <c r="D12" t="s">
        <v>15</v>
      </c>
      <c r="E12" t="s">
        <v>20</v>
      </c>
      <c r="F12">
        <v>11</v>
      </c>
      <c r="G12">
        <v>3782</v>
      </c>
      <c r="H12">
        <f t="shared" ref="H12:H16" si="1">F12*G12</f>
        <v>41602</v>
      </c>
    </row>
    <row r="13" spans="1:8" x14ac:dyDescent="0.25">
      <c r="A13">
        <v>12</v>
      </c>
      <c r="B13" s="3">
        <v>40185</v>
      </c>
      <c r="C13" t="s">
        <v>10</v>
      </c>
      <c r="D13" t="s">
        <v>16</v>
      </c>
      <c r="E13" t="s">
        <v>20</v>
      </c>
      <c r="F13">
        <v>15</v>
      </c>
      <c r="G13">
        <v>2823</v>
      </c>
      <c r="H13">
        <f t="shared" si="1"/>
        <v>42345</v>
      </c>
    </row>
    <row r="14" spans="1:8" x14ac:dyDescent="0.25">
      <c r="A14">
        <v>13</v>
      </c>
      <c r="B14" s="3">
        <v>40186</v>
      </c>
      <c r="C14" t="s">
        <v>11</v>
      </c>
      <c r="D14" t="s">
        <v>17</v>
      </c>
      <c r="E14" t="s">
        <v>20</v>
      </c>
      <c r="F14">
        <v>12</v>
      </c>
      <c r="G14">
        <v>4729</v>
      </c>
      <c r="H14">
        <f t="shared" si="1"/>
        <v>56748</v>
      </c>
    </row>
    <row r="15" spans="1:8" x14ac:dyDescent="0.25">
      <c r="A15">
        <v>14</v>
      </c>
      <c r="B15" s="3">
        <v>40187</v>
      </c>
      <c r="C15" t="s">
        <v>12</v>
      </c>
      <c r="D15" t="s">
        <v>18</v>
      </c>
      <c r="E15" t="s">
        <v>20</v>
      </c>
      <c r="F15">
        <v>12</v>
      </c>
      <c r="G15">
        <v>4007</v>
      </c>
      <c r="H15">
        <f t="shared" si="1"/>
        <v>48084</v>
      </c>
    </row>
    <row r="16" spans="1:8" x14ac:dyDescent="0.25">
      <c r="A16">
        <v>15</v>
      </c>
      <c r="B16" s="3">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6"/>
  <sheetViews>
    <sheetView workbookViewId="0">
      <selection activeCell="A2" sqref="A2: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40180</v>
      </c>
      <c r="C3" t="s">
        <v>14</v>
      </c>
      <c r="D3" t="s">
        <v>16</v>
      </c>
      <c r="E3" t="s">
        <v>21</v>
      </c>
      <c r="F3">
        <v>18</v>
      </c>
      <c r="G3">
        <v>3809</v>
      </c>
      <c r="H3">
        <f t="shared" ref="H3:H11" si="0">F3*G3</f>
        <v>68562</v>
      </c>
    </row>
    <row r="4" spans="1:8" x14ac:dyDescent="0.25">
      <c r="A4">
        <v>3</v>
      </c>
      <c r="B4" s="3">
        <v>40181</v>
      </c>
      <c r="C4" t="s">
        <v>10</v>
      </c>
      <c r="D4" t="s">
        <v>17</v>
      </c>
      <c r="E4" t="s">
        <v>21</v>
      </c>
      <c r="F4">
        <v>16</v>
      </c>
      <c r="G4">
        <v>3987</v>
      </c>
      <c r="H4">
        <f t="shared" si="0"/>
        <v>63792</v>
      </c>
    </row>
    <row r="5" spans="1:8" x14ac:dyDescent="0.25">
      <c r="A5">
        <v>4</v>
      </c>
      <c r="B5" s="3">
        <v>40182</v>
      </c>
      <c r="C5" t="s">
        <v>8</v>
      </c>
      <c r="D5" t="s">
        <v>18</v>
      </c>
      <c r="E5" t="s">
        <v>21</v>
      </c>
      <c r="F5">
        <v>10</v>
      </c>
      <c r="G5">
        <v>2346</v>
      </c>
      <c r="H5">
        <f t="shared" si="0"/>
        <v>23460</v>
      </c>
    </row>
    <row r="6" spans="1:8" x14ac:dyDescent="0.25">
      <c r="A6">
        <v>5</v>
      </c>
      <c r="B6" s="3">
        <v>40183</v>
      </c>
      <c r="C6" t="s">
        <v>8</v>
      </c>
      <c r="D6" t="s">
        <v>19</v>
      </c>
      <c r="E6" t="s">
        <v>21</v>
      </c>
      <c r="F6">
        <v>8</v>
      </c>
      <c r="G6">
        <v>4953</v>
      </c>
      <c r="H6">
        <f t="shared" si="0"/>
        <v>39624</v>
      </c>
    </row>
    <row r="7" spans="1:8" x14ac:dyDescent="0.25">
      <c r="A7">
        <v>6</v>
      </c>
      <c r="B7" s="3">
        <v>40184</v>
      </c>
      <c r="C7" t="s">
        <v>11</v>
      </c>
      <c r="D7" t="s">
        <v>15</v>
      </c>
      <c r="E7" t="s">
        <v>21</v>
      </c>
      <c r="F7">
        <v>18</v>
      </c>
      <c r="G7">
        <v>4088</v>
      </c>
      <c r="H7">
        <f t="shared" si="0"/>
        <v>73584</v>
      </c>
    </row>
    <row r="8" spans="1:8" x14ac:dyDescent="0.25">
      <c r="A8">
        <v>7</v>
      </c>
      <c r="B8" s="3">
        <v>40185</v>
      </c>
      <c r="C8" t="s">
        <v>14</v>
      </c>
      <c r="D8" t="s">
        <v>16</v>
      </c>
      <c r="E8" t="s">
        <v>21</v>
      </c>
      <c r="F8">
        <v>15</v>
      </c>
      <c r="G8">
        <v>2531</v>
      </c>
      <c r="H8">
        <f t="shared" si="0"/>
        <v>37965</v>
      </c>
    </row>
    <row r="9" spans="1:8" x14ac:dyDescent="0.25">
      <c r="A9">
        <v>8</v>
      </c>
      <c r="B9" s="3">
        <v>40186</v>
      </c>
      <c r="C9" t="s">
        <v>10</v>
      </c>
      <c r="D9" t="s">
        <v>17</v>
      </c>
      <c r="E9" t="s">
        <v>21</v>
      </c>
      <c r="F9">
        <v>13</v>
      </c>
      <c r="G9">
        <v>4716</v>
      </c>
      <c r="H9">
        <f t="shared" si="0"/>
        <v>61308</v>
      </c>
    </row>
    <row r="10" spans="1:8" x14ac:dyDescent="0.25">
      <c r="A10">
        <v>9</v>
      </c>
      <c r="B10" s="3">
        <v>40187</v>
      </c>
      <c r="C10" t="s">
        <v>8</v>
      </c>
      <c r="D10" t="s">
        <v>18</v>
      </c>
      <c r="E10" t="s">
        <v>21</v>
      </c>
      <c r="F10">
        <v>11</v>
      </c>
      <c r="G10">
        <v>2806</v>
      </c>
      <c r="H10">
        <f t="shared" si="0"/>
        <v>30866</v>
      </c>
    </row>
    <row r="11" spans="1:8" x14ac:dyDescent="0.25">
      <c r="A11">
        <v>10</v>
      </c>
      <c r="B11" s="3">
        <v>40188</v>
      </c>
      <c r="C11" t="s">
        <v>8</v>
      </c>
      <c r="D11" t="s">
        <v>19</v>
      </c>
      <c r="E11" t="s">
        <v>21</v>
      </c>
      <c r="F11">
        <v>5</v>
      </c>
      <c r="G11">
        <v>3350</v>
      </c>
      <c r="H11">
        <f t="shared" si="0"/>
        <v>16750</v>
      </c>
    </row>
    <row r="12" spans="1:8" x14ac:dyDescent="0.25">
      <c r="A12">
        <v>11</v>
      </c>
      <c r="B12" s="3">
        <v>40184</v>
      </c>
      <c r="C12" t="s">
        <v>11</v>
      </c>
      <c r="D12" t="s">
        <v>15</v>
      </c>
      <c r="E12" t="s">
        <v>21</v>
      </c>
      <c r="F12">
        <v>18</v>
      </c>
      <c r="G12">
        <v>4088</v>
      </c>
      <c r="H12">
        <f t="shared" ref="H12:H16" si="1">F12*G12</f>
        <v>73584</v>
      </c>
    </row>
    <row r="13" spans="1:8" x14ac:dyDescent="0.25">
      <c r="A13">
        <v>12</v>
      </c>
      <c r="B13" s="3">
        <v>40185</v>
      </c>
      <c r="C13" t="s">
        <v>14</v>
      </c>
      <c r="D13" t="s">
        <v>16</v>
      </c>
      <c r="E13" t="s">
        <v>21</v>
      </c>
      <c r="F13">
        <v>15</v>
      </c>
      <c r="G13">
        <v>2531</v>
      </c>
      <c r="H13">
        <f t="shared" si="1"/>
        <v>37965</v>
      </c>
    </row>
    <row r="14" spans="1:8" x14ac:dyDescent="0.25">
      <c r="A14">
        <v>13</v>
      </c>
      <c r="B14" s="3">
        <v>40186</v>
      </c>
      <c r="C14" t="s">
        <v>10</v>
      </c>
      <c r="D14" t="s">
        <v>17</v>
      </c>
      <c r="E14" t="s">
        <v>21</v>
      </c>
      <c r="F14">
        <v>13</v>
      </c>
      <c r="G14">
        <v>4716</v>
      </c>
      <c r="H14">
        <f t="shared" si="1"/>
        <v>61308</v>
      </c>
    </row>
    <row r="15" spans="1:8" x14ac:dyDescent="0.25">
      <c r="A15">
        <v>14</v>
      </c>
      <c r="B15" s="3">
        <v>40187</v>
      </c>
      <c r="C15" t="s">
        <v>8</v>
      </c>
      <c r="D15" t="s">
        <v>18</v>
      </c>
      <c r="E15" t="s">
        <v>21</v>
      </c>
      <c r="F15">
        <v>11</v>
      </c>
      <c r="G15">
        <v>2806</v>
      </c>
      <c r="H15">
        <f t="shared" si="1"/>
        <v>30866</v>
      </c>
    </row>
    <row r="16" spans="1:8" x14ac:dyDescent="0.25">
      <c r="A16">
        <v>15</v>
      </c>
      <c r="B16" s="3">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7"/>
  <sheetViews>
    <sheetView workbookViewId="0">
      <selection activeCell="A2" sqref="A2:H17"/>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40180</v>
      </c>
      <c r="C3" t="s">
        <v>12</v>
      </c>
      <c r="D3" t="s">
        <v>16</v>
      </c>
      <c r="E3" t="s">
        <v>22</v>
      </c>
      <c r="F3">
        <v>17</v>
      </c>
      <c r="G3">
        <v>4245</v>
      </c>
      <c r="H3">
        <f t="shared" ref="H3:H11" si="0">F3*G3</f>
        <v>72165</v>
      </c>
    </row>
    <row r="4" spans="1:8" x14ac:dyDescent="0.25">
      <c r="A4">
        <v>3</v>
      </c>
      <c r="B4" s="3">
        <v>40181</v>
      </c>
      <c r="C4" t="s">
        <v>13</v>
      </c>
      <c r="D4" t="s">
        <v>17</v>
      </c>
      <c r="E4" t="s">
        <v>22</v>
      </c>
      <c r="F4">
        <v>5</v>
      </c>
      <c r="G4">
        <v>4864</v>
      </c>
      <c r="H4">
        <f t="shared" si="0"/>
        <v>24320</v>
      </c>
    </row>
    <row r="5" spans="1:8" x14ac:dyDescent="0.25">
      <c r="A5">
        <v>4</v>
      </c>
      <c r="B5" s="3">
        <v>40182</v>
      </c>
      <c r="C5" t="s">
        <v>13</v>
      </c>
      <c r="D5" t="s">
        <v>18</v>
      </c>
      <c r="E5" t="s">
        <v>22</v>
      </c>
      <c r="F5">
        <v>6</v>
      </c>
      <c r="G5">
        <v>2381</v>
      </c>
      <c r="H5">
        <f t="shared" si="0"/>
        <v>14286</v>
      </c>
    </row>
    <row r="6" spans="1:8" x14ac:dyDescent="0.25">
      <c r="A6">
        <v>5</v>
      </c>
      <c r="B6" s="3">
        <v>40183</v>
      </c>
      <c r="C6" t="s">
        <v>11</v>
      </c>
      <c r="D6" t="s">
        <v>19</v>
      </c>
      <c r="E6" t="s">
        <v>22</v>
      </c>
      <c r="F6">
        <v>10</v>
      </c>
      <c r="G6">
        <v>3503</v>
      </c>
      <c r="H6">
        <f t="shared" si="0"/>
        <v>35030</v>
      </c>
    </row>
    <row r="7" spans="1:8" x14ac:dyDescent="0.25">
      <c r="A7">
        <v>6</v>
      </c>
      <c r="B7" s="3">
        <v>40184</v>
      </c>
      <c r="C7" t="s">
        <v>13</v>
      </c>
      <c r="D7" t="s">
        <v>15</v>
      </c>
      <c r="E7" t="s">
        <v>22</v>
      </c>
      <c r="F7">
        <v>5</v>
      </c>
      <c r="G7">
        <v>3176</v>
      </c>
      <c r="H7">
        <f t="shared" si="0"/>
        <v>15880</v>
      </c>
    </row>
    <row r="8" spans="1:8" x14ac:dyDescent="0.25">
      <c r="A8">
        <v>7</v>
      </c>
      <c r="B8" s="3">
        <v>40185</v>
      </c>
      <c r="C8" t="s">
        <v>12</v>
      </c>
      <c r="D8" t="s">
        <v>16</v>
      </c>
      <c r="E8" t="s">
        <v>22</v>
      </c>
      <c r="F8">
        <v>12</v>
      </c>
      <c r="G8">
        <v>4192</v>
      </c>
      <c r="H8">
        <f t="shared" si="0"/>
        <v>50304</v>
      </c>
    </row>
    <row r="9" spans="1:8" x14ac:dyDescent="0.25">
      <c r="A9">
        <v>8</v>
      </c>
      <c r="B9" s="3">
        <v>40186</v>
      </c>
      <c r="C9" t="s">
        <v>13</v>
      </c>
      <c r="D9" t="s">
        <v>17</v>
      </c>
      <c r="E9" t="s">
        <v>22</v>
      </c>
      <c r="F9">
        <v>2</v>
      </c>
      <c r="G9">
        <v>4793</v>
      </c>
      <c r="H9">
        <f t="shared" si="0"/>
        <v>9586</v>
      </c>
    </row>
    <row r="10" spans="1:8" x14ac:dyDescent="0.25">
      <c r="A10">
        <v>9</v>
      </c>
      <c r="B10" s="3">
        <v>40187</v>
      </c>
      <c r="C10" t="s">
        <v>13</v>
      </c>
      <c r="D10" t="s">
        <v>18</v>
      </c>
      <c r="E10" t="s">
        <v>22</v>
      </c>
      <c r="F10">
        <v>5</v>
      </c>
      <c r="G10">
        <v>2204</v>
      </c>
      <c r="H10">
        <f t="shared" si="0"/>
        <v>11020</v>
      </c>
    </row>
    <row r="11" spans="1:8" x14ac:dyDescent="0.25">
      <c r="A11">
        <v>10</v>
      </c>
      <c r="B11" s="3">
        <v>40188</v>
      </c>
      <c r="C11" t="s">
        <v>11</v>
      </c>
      <c r="D11" t="s">
        <v>19</v>
      </c>
      <c r="E11" t="s">
        <v>22</v>
      </c>
      <c r="F11">
        <v>18</v>
      </c>
      <c r="G11">
        <v>4183</v>
      </c>
      <c r="H11">
        <f t="shared" si="0"/>
        <v>75294</v>
      </c>
    </row>
    <row r="12" spans="1:8" x14ac:dyDescent="0.25">
      <c r="A12">
        <v>11</v>
      </c>
      <c r="B12" s="3">
        <v>40183</v>
      </c>
      <c r="C12" t="s">
        <v>11</v>
      </c>
      <c r="D12" t="s">
        <v>19</v>
      </c>
      <c r="E12" t="s">
        <v>22</v>
      </c>
      <c r="F12">
        <v>10</v>
      </c>
      <c r="G12">
        <v>3503</v>
      </c>
      <c r="H12">
        <f t="shared" ref="H12:H17" si="1">F12*G12</f>
        <v>35030</v>
      </c>
    </row>
    <row r="13" spans="1:8" x14ac:dyDescent="0.25">
      <c r="A13">
        <v>12</v>
      </c>
      <c r="B13" s="3">
        <v>40184</v>
      </c>
      <c r="C13" t="s">
        <v>13</v>
      </c>
      <c r="D13" t="s">
        <v>15</v>
      </c>
      <c r="E13" t="s">
        <v>22</v>
      </c>
      <c r="F13">
        <v>5</v>
      </c>
      <c r="G13">
        <v>3176</v>
      </c>
      <c r="H13">
        <f t="shared" si="1"/>
        <v>15880</v>
      </c>
    </row>
    <row r="14" spans="1:8" x14ac:dyDescent="0.25">
      <c r="A14">
        <v>13</v>
      </c>
      <c r="B14" s="3">
        <v>40185</v>
      </c>
      <c r="C14" t="s">
        <v>12</v>
      </c>
      <c r="D14" t="s">
        <v>16</v>
      </c>
      <c r="E14" t="s">
        <v>22</v>
      </c>
      <c r="F14">
        <v>12</v>
      </c>
      <c r="G14">
        <v>4192</v>
      </c>
      <c r="H14">
        <f t="shared" si="1"/>
        <v>50304</v>
      </c>
    </row>
    <row r="15" spans="1:8" x14ac:dyDescent="0.25">
      <c r="A15">
        <v>14</v>
      </c>
      <c r="B15" s="3">
        <v>40186</v>
      </c>
      <c r="C15" t="s">
        <v>13</v>
      </c>
      <c r="D15" t="s">
        <v>17</v>
      </c>
      <c r="E15" t="s">
        <v>22</v>
      </c>
      <c r="F15">
        <v>2</v>
      </c>
      <c r="G15">
        <v>4793</v>
      </c>
      <c r="H15">
        <f t="shared" si="1"/>
        <v>9586</v>
      </c>
    </row>
    <row r="16" spans="1:8" x14ac:dyDescent="0.25">
      <c r="A16">
        <v>15</v>
      </c>
      <c r="B16" s="3">
        <v>40187</v>
      </c>
      <c r="C16" t="s">
        <v>13</v>
      </c>
      <c r="D16" t="s">
        <v>18</v>
      </c>
      <c r="E16" t="s">
        <v>22</v>
      </c>
      <c r="F16">
        <v>5</v>
      </c>
      <c r="G16">
        <v>2204</v>
      </c>
      <c r="H16">
        <f t="shared" si="1"/>
        <v>11020</v>
      </c>
    </row>
    <row r="17" spans="1:8" x14ac:dyDescent="0.25">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G21"/>
  <sheetViews>
    <sheetView showGridLines="0" workbookViewId="0"/>
  </sheetViews>
  <sheetFormatPr defaultRowHeight="15" x14ac:dyDescent="0.25"/>
  <cols>
    <col min="1" max="1" width="9.140625" style="1"/>
    <col min="2" max="2" width="7.85546875" bestFit="1" customWidth="1"/>
    <col min="3" max="4" width="9.5703125" bestFit="1" customWidth="1"/>
  </cols>
  <sheetData>
    <row r="2" spans="1:4" x14ac:dyDescent="0.25">
      <c r="B2" t="s">
        <v>25</v>
      </c>
    </row>
    <row r="3" spans="1:4" x14ac:dyDescent="0.25">
      <c r="B3" t="s">
        <v>26</v>
      </c>
    </row>
    <row r="4" spans="1:4" x14ac:dyDescent="0.25">
      <c r="B4" t="s">
        <v>27</v>
      </c>
    </row>
    <row r="5" spans="1:4" x14ac:dyDescent="0.25">
      <c r="B5" t="s">
        <v>28</v>
      </c>
    </row>
    <row r="6" spans="1:4" x14ac:dyDescent="0.25">
      <c r="B6" t="s">
        <v>35</v>
      </c>
    </row>
    <row r="7" spans="1:4" x14ac:dyDescent="0.25">
      <c r="B7" t="s">
        <v>36</v>
      </c>
    </row>
    <row r="8" spans="1:4" x14ac:dyDescent="0.25">
      <c r="B8" t="s">
        <v>37</v>
      </c>
    </row>
    <row r="9" spans="1:4" x14ac:dyDescent="0.25">
      <c r="B9" t="s">
        <v>29</v>
      </c>
    </row>
    <row r="10" spans="1:4" ht="15.75" x14ac:dyDescent="0.25">
      <c r="B10" s="6" t="s">
        <v>38</v>
      </c>
      <c r="C10" s="6"/>
    </row>
    <row r="11" spans="1:4" ht="15.75" x14ac:dyDescent="0.25">
      <c r="B11" s="6" t="s">
        <v>39</v>
      </c>
      <c r="C11" s="6"/>
    </row>
    <row r="12" spans="1:4" ht="15.75" x14ac:dyDescent="0.25">
      <c r="B12" s="6"/>
      <c r="C12" s="6"/>
    </row>
    <row r="13" spans="1:4" ht="15.75" x14ac:dyDescent="0.25">
      <c r="B13" s="10" t="s">
        <v>34</v>
      </c>
      <c r="C13" s="6"/>
    </row>
    <row r="15" spans="1:4" x14ac:dyDescent="0.25">
      <c r="A15" s="1">
        <v>1</v>
      </c>
      <c r="B15" s="7" t="s">
        <v>3</v>
      </c>
      <c r="C15" s="7" t="s">
        <v>23</v>
      </c>
      <c r="D15" s="8"/>
    </row>
    <row r="16" spans="1:4" x14ac:dyDescent="0.25">
      <c r="A16" s="1">
        <v>2</v>
      </c>
      <c r="B16" s="9" t="s">
        <v>1</v>
      </c>
      <c r="C16" s="7" t="s">
        <v>23</v>
      </c>
      <c r="D16" s="8"/>
    </row>
    <row r="17" spans="1:7" x14ac:dyDescent="0.25">
      <c r="A17" s="1">
        <v>3</v>
      </c>
      <c r="B17" s="7" t="s">
        <v>3</v>
      </c>
      <c r="C17" s="9" t="s">
        <v>1</v>
      </c>
      <c r="D17" s="7" t="s">
        <v>4</v>
      </c>
    </row>
    <row r="18" spans="1:7" x14ac:dyDescent="0.25">
      <c r="A18" s="1">
        <v>4</v>
      </c>
      <c r="B18" s="9" t="s">
        <v>0</v>
      </c>
      <c r="C18" s="7" t="s">
        <v>1</v>
      </c>
      <c r="D18" s="7" t="s">
        <v>23</v>
      </c>
      <c r="F18" s="5"/>
      <c r="G18" t="s">
        <v>30</v>
      </c>
    </row>
    <row r="21" spans="1:7" x14ac:dyDescent="0.25">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RPT (4)</vt:lpstr>
      <vt:lpstr>Dashboard</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Sherya Parmar</cp:lastModifiedBy>
  <dcterms:created xsi:type="dcterms:W3CDTF">2020-07-03T08:10:56Z</dcterms:created>
  <dcterms:modified xsi:type="dcterms:W3CDTF">2021-07-06T04:18:59Z</dcterms:modified>
</cp:coreProperties>
</file>